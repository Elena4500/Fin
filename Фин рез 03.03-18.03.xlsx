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rux\Documents\MM_reports\test-main\"/>
    </mc:Choice>
  </mc:AlternateContent>
  <bookViews>
    <workbookView xWindow="0" yWindow="0" windowWidth="22980" windowHeight="9060" activeTab="3"/>
  </bookViews>
  <sheets>
    <sheet name="Фин рез" sheetId="1" r:id="rId1"/>
    <sheet name="Exante" sheetId="13" r:id="rId2"/>
    <sheet name="03.03.21" sheetId="2" r:id="rId3"/>
    <sheet name="04.03.21" sheetId="3" r:id="rId4"/>
    <sheet name="05.03.21" sheetId="4" r:id="rId5"/>
    <sheet name="09.03.21" sheetId="5" r:id="rId6"/>
    <sheet name="10.03.21" sheetId="6" r:id="rId7"/>
    <sheet name="11.03.21" sheetId="7" r:id="rId8"/>
    <sheet name="12.03.21" sheetId="8" r:id="rId9"/>
    <sheet name="15.03.21" sheetId="9" r:id="rId10"/>
    <sheet name="16.03.21" sheetId="10" r:id="rId11"/>
    <sheet name="17.03.21" sheetId="11" r:id="rId12"/>
    <sheet name="18.03.21" sheetId="12" r:id="rId13"/>
    <sheet name="19.03.21" sheetId="14" r:id="rId14"/>
  </sheets>
  <calcPr calcId="162913"/>
</workbook>
</file>

<file path=xl/calcChain.xml><?xml version="1.0" encoding="utf-8"?>
<calcChain xmlns="http://schemas.openxmlformats.org/spreadsheetml/2006/main">
  <c r="N10" i="12" l="1"/>
  <c r="N3" i="12"/>
  <c r="N4" i="12"/>
  <c r="B12" i="1" s="1"/>
  <c r="B14" i="1" s="1"/>
  <c r="N5" i="12"/>
  <c r="N6" i="12"/>
  <c r="N7" i="12"/>
  <c r="N8" i="12"/>
  <c r="N9" i="12"/>
  <c r="N2" i="12"/>
  <c r="B13" i="1"/>
  <c r="B11" i="1"/>
  <c r="M91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2" i="11"/>
  <c r="B10" i="1"/>
  <c r="N75" i="10"/>
  <c r="N74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2" i="10"/>
  <c r="F2" i="9"/>
  <c r="F3" i="9"/>
  <c r="B8" i="1"/>
  <c r="B7" i="1"/>
  <c r="B5" i="1"/>
  <c r="B4" i="1"/>
  <c r="B3" i="1"/>
  <c r="B2" i="1"/>
  <c r="D14" i="1"/>
  <c r="H42" i="14"/>
  <c r="H72" i="14" s="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2" i="14"/>
  <c r="L45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2" i="13"/>
  <c r="F430" i="12"/>
  <c r="F429" i="12"/>
  <c r="F428" i="12"/>
  <c r="F427" i="12"/>
  <c r="F426" i="12"/>
  <c r="F425" i="12"/>
  <c r="F424" i="12"/>
  <c r="F423" i="12"/>
  <c r="F422" i="12"/>
  <c r="F421" i="12"/>
  <c r="F420" i="12"/>
  <c r="F419" i="12"/>
  <c r="F418" i="12"/>
  <c r="F417" i="12"/>
  <c r="F416" i="12"/>
  <c r="F415" i="12"/>
  <c r="F414" i="12"/>
  <c r="F413" i="12"/>
  <c r="F412" i="12"/>
  <c r="F411" i="12"/>
  <c r="F410" i="12"/>
  <c r="F409" i="12"/>
  <c r="F408" i="12"/>
  <c r="F407" i="12"/>
  <c r="F406" i="12"/>
  <c r="F405" i="12"/>
  <c r="F404" i="12"/>
  <c r="F403" i="12"/>
  <c r="F402" i="12"/>
  <c r="F401" i="12"/>
  <c r="F400" i="12"/>
  <c r="F399" i="12"/>
  <c r="F398" i="12"/>
  <c r="F397" i="12"/>
  <c r="F396" i="12"/>
  <c r="F395" i="12"/>
  <c r="F394" i="12"/>
  <c r="F393" i="12"/>
  <c r="F392" i="12"/>
  <c r="F391" i="12"/>
  <c r="F390" i="12"/>
  <c r="F389" i="12"/>
  <c r="F388" i="12"/>
  <c r="F387" i="12"/>
  <c r="F386" i="12"/>
  <c r="F385" i="12"/>
  <c r="F384" i="12"/>
  <c r="F383" i="12"/>
  <c r="F382" i="12"/>
  <c r="F381" i="12"/>
  <c r="F380" i="12"/>
  <c r="F379" i="12"/>
  <c r="F378" i="12"/>
  <c r="F377" i="12"/>
  <c r="F376" i="12"/>
  <c r="F375" i="12"/>
  <c r="F374" i="12"/>
  <c r="F373" i="12"/>
  <c r="F372" i="12"/>
  <c r="F371" i="12"/>
  <c r="F370" i="12"/>
  <c r="F369" i="12"/>
  <c r="F368" i="12"/>
  <c r="F367" i="12"/>
  <c r="F366" i="12"/>
  <c r="F365" i="12"/>
  <c r="F364" i="12"/>
  <c r="F363" i="12"/>
  <c r="F362" i="12"/>
  <c r="F361" i="12"/>
  <c r="F360" i="12"/>
  <c r="F359" i="12"/>
  <c r="F358" i="12"/>
  <c r="F357" i="12"/>
  <c r="F356" i="12"/>
  <c r="F355" i="12"/>
  <c r="F354" i="12"/>
  <c r="F353" i="12"/>
  <c r="F352" i="12"/>
  <c r="F351" i="12"/>
  <c r="F350" i="12"/>
  <c r="F349" i="12"/>
  <c r="F348" i="12"/>
  <c r="F347" i="12"/>
  <c r="F346" i="12"/>
  <c r="F345" i="12"/>
  <c r="F344" i="12"/>
  <c r="F343" i="12"/>
  <c r="F342" i="12"/>
  <c r="F341" i="12"/>
  <c r="F340" i="12"/>
  <c r="F339" i="12"/>
  <c r="F338" i="12"/>
  <c r="F337" i="12"/>
  <c r="F336" i="12"/>
  <c r="F335" i="12"/>
  <c r="F334" i="12"/>
  <c r="F333" i="12"/>
  <c r="F332" i="12"/>
  <c r="F331" i="12"/>
  <c r="F330" i="12"/>
  <c r="F329" i="12"/>
  <c r="F328" i="12"/>
  <c r="F327" i="12"/>
  <c r="F326" i="12"/>
  <c r="F325" i="12"/>
  <c r="F324" i="12"/>
  <c r="F323" i="12"/>
  <c r="F322" i="12"/>
  <c r="F321" i="12"/>
  <c r="F320" i="12"/>
  <c r="F319" i="12"/>
  <c r="F318" i="12"/>
  <c r="F317" i="12"/>
  <c r="F316" i="12"/>
  <c r="F315" i="12"/>
  <c r="F314" i="12"/>
  <c r="F313" i="12"/>
  <c r="F312" i="12"/>
  <c r="F311" i="12"/>
  <c r="F310" i="12"/>
  <c r="F309" i="12"/>
  <c r="F308" i="12"/>
  <c r="F307" i="12"/>
  <c r="F306" i="12"/>
  <c r="F305" i="12"/>
  <c r="F304" i="12"/>
  <c r="F303" i="12"/>
  <c r="F302" i="12"/>
  <c r="F301" i="12"/>
  <c r="F300" i="12"/>
  <c r="F299" i="12"/>
  <c r="F298" i="12"/>
  <c r="F297" i="12"/>
  <c r="F296" i="12"/>
  <c r="F295" i="12"/>
  <c r="F294" i="12"/>
  <c r="F293" i="12"/>
  <c r="F292" i="12"/>
  <c r="F291" i="12"/>
  <c r="F290" i="12"/>
  <c r="F289" i="12"/>
  <c r="F288" i="12"/>
  <c r="F287" i="12"/>
  <c r="F286" i="12"/>
  <c r="F285" i="12"/>
  <c r="F284" i="12"/>
  <c r="F283" i="12"/>
  <c r="F282" i="12"/>
  <c r="F281" i="12"/>
  <c r="F280" i="12"/>
  <c r="F279" i="12"/>
  <c r="F278" i="12"/>
  <c r="F277" i="12"/>
  <c r="F276" i="12"/>
  <c r="F275" i="12"/>
  <c r="F274" i="12"/>
  <c r="F273" i="12"/>
  <c r="F272" i="12"/>
  <c r="F271" i="12"/>
  <c r="F270" i="12"/>
  <c r="F269" i="12"/>
  <c r="F268" i="12"/>
  <c r="F267" i="12"/>
  <c r="F266" i="12"/>
  <c r="F265" i="12"/>
  <c r="F264" i="12"/>
  <c r="F263" i="12"/>
  <c r="F262" i="12"/>
  <c r="F261" i="12"/>
  <c r="F260" i="12"/>
  <c r="F259" i="12"/>
  <c r="F258" i="12"/>
  <c r="F257" i="12"/>
  <c r="F256" i="12"/>
  <c r="F255" i="12"/>
  <c r="F254" i="12"/>
  <c r="F253" i="12"/>
  <c r="F252" i="12"/>
  <c r="F251" i="12"/>
  <c r="F250" i="12"/>
  <c r="F249" i="12"/>
  <c r="F248" i="12"/>
  <c r="F247" i="12"/>
  <c r="F246" i="12"/>
  <c r="F245" i="12"/>
  <c r="F244" i="12"/>
  <c r="F243" i="12"/>
  <c r="F242" i="12"/>
  <c r="F241" i="12"/>
  <c r="F240" i="12"/>
  <c r="F239" i="12"/>
  <c r="F238" i="12"/>
  <c r="F237" i="12"/>
  <c r="F236" i="12"/>
  <c r="F235" i="12"/>
  <c r="F234" i="12"/>
  <c r="F233" i="12"/>
  <c r="F232" i="12"/>
  <c r="F231" i="12"/>
  <c r="F230" i="12"/>
  <c r="F229" i="12"/>
  <c r="F228" i="12"/>
  <c r="F227" i="12"/>
  <c r="F226" i="12"/>
  <c r="F225" i="12"/>
  <c r="F224" i="12"/>
  <c r="F223" i="12"/>
  <c r="F222" i="12"/>
  <c r="F221" i="12"/>
  <c r="F220" i="12"/>
  <c r="F219" i="12"/>
  <c r="F218" i="12"/>
  <c r="F217" i="12"/>
  <c r="F216" i="12"/>
  <c r="F215" i="12"/>
  <c r="F214" i="12"/>
  <c r="F213" i="12"/>
  <c r="F212" i="12"/>
  <c r="F211" i="12"/>
  <c r="F210" i="12"/>
  <c r="F209" i="12"/>
  <c r="F208" i="12"/>
  <c r="F207" i="12"/>
  <c r="F206" i="12"/>
  <c r="F205" i="12"/>
  <c r="F204" i="12"/>
  <c r="F203" i="12"/>
  <c r="F202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5" i="12"/>
  <c r="F164" i="12"/>
  <c r="F163" i="12"/>
  <c r="F162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F431" i="12" s="1"/>
  <c r="F365" i="11"/>
  <c r="F364" i="11"/>
  <c r="F363" i="11"/>
  <c r="F362" i="11"/>
  <c r="F361" i="11"/>
  <c r="F360" i="11"/>
  <c r="F359" i="11"/>
  <c r="F358" i="11"/>
  <c r="F357" i="11"/>
  <c r="F356" i="11"/>
  <c r="F355" i="11"/>
  <c r="F354" i="11"/>
  <c r="F353" i="11"/>
  <c r="F352" i="11"/>
  <c r="F351" i="11"/>
  <c r="F350" i="11"/>
  <c r="F349" i="11"/>
  <c r="F348" i="11"/>
  <c r="F347" i="11"/>
  <c r="F346" i="11"/>
  <c r="F345" i="11"/>
  <c r="F344" i="11"/>
  <c r="F343" i="11"/>
  <c r="F342" i="11"/>
  <c r="F341" i="11"/>
  <c r="F340" i="11"/>
  <c r="F339" i="11"/>
  <c r="F338" i="11"/>
  <c r="F337" i="11"/>
  <c r="F336" i="11"/>
  <c r="F335" i="11"/>
  <c r="F334" i="11"/>
  <c r="F333" i="11"/>
  <c r="F332" i="11"/>
  <c r="F331" i="11"/>
  <c r="F330" i="11"/>
  <c r="F329" i="11"/>
  <c r="F328" i="11"/>
  <c r="F327" i="11"/>
  <c r="F326" i="11"/>
  <c r="F325" i="11"/>
  <c r="F324" i="11"/>
  <c r="F323" i="11"/>
  <c r="F322" i="11"/>
  <c r="F321" i="11"/>
  <c r="F320" i="11"/>
  <c r="F319" i="11"/>
  <c r="F318" i="11"/>
  <c r="F317" i="11"/>
  <c r="F316" i="11"/>
  <c r="F315" i="11"/>
  <c r="F314" i="11"/>
  <c r="F313" i="11"/>
  <c r="F312" i="11"/>
  <c r="F311" i="11"/>
  <c r="F310" i="11"/>
  <c r="F309" i="11"/>
  <c r="F308" i="11"/>
  <c r="F307" i="11"/>
  <c r="F306" i="11"/>
  <c r="F305" i="11"/>
  <c r="F304" i="11"/>
  <c r="F303" i="11"/>
  <c r="F302" i="11"/>
  <c r="F301" i="11"/>
  <c r="F300" i="11"/>
  <c r="F299" i="11"/>
  <c r="F298" i="11"/>
  <c r="F297" i="11"/>
  <c r="F296" i="11"/>
  <c r="F295" i="11"/>
  <c r="F294" i="11"/>
  <c r="F293" i="11"/>
  <c r="F292" i="11"/>
  <c r="F291" i="11"/>
  <c r="F290" i="11"/>
  <c r="F289" i="11"/>
  <c r="F288" i="11"/>
  <c r="F287" i="11"/>
  <c r="F286" i="11"/>
  <c r="F285" i="11"/>
  <c r="F284" i="11"/>
  <c r="F283" i="11"/>
  <c r="F282" i="11"/>
  <c r="F281" i="11"/>
  <c r="F280" i="11"/>
  <c r="F279" i="11"/>
  <c r="F278" i="11"/>
  <c r="F277" i="11"/>
  <c r="F276" i="11"/>
  <c r="F275" i="11"/>
  <c r="F274" i="11"/>
  <c r="F273" i="11"/>
  <c r="F272" i="11"/>
  <c r="F271" i="11"/>
  <c r="F270" i="11"/>
  <c r="F269" i="11"/>
  <c r="F268" i="11"/>
  <c r="F267" i="11"/>
  <c r="F266" i="11"/>
  <c r="F265" i="11"/>
  <c r="F264" i="11"/>
  <c r="F263" i="11"/>
  <c r="F262" i="11"/>
  <c r="F261" i="11"/>
  <c r="F260" i="11"/>
  <c r="F259" i="11"/>
  <c r="F258" i="11"/>
  <c r="F257" i="11"/>
  <c r="F256" i="11"/>
  <c r="F255" i="11"/>
  <c r="F254" i="11"/>
  <c r="F253" i="11"/>
  <c r="F252" i="11"/>
  <c r="F251" i="11"/>
  <c r="F250" i="11"/>
  <c r="F249" i="11"/>
  <c r="F248" i="11"/>
  <c r="F247" i="11"/>
  <c r="F246" i="11"/>
  <c r="F245" i="11"/>
  <c r="F244" i="11"/>
  <c r="F243" i="11"/>
  <c r="F242" i="11"/>
  <c r="F241" i="11"/>
  <c r="F240" i="11"/>
  <c r="F239" i="11"/>
  <c r="F238" i="11"/>
  <c r="F237" i="11"/>
  <c r="F236" i="11"/>
  <c r="F235" i="11"/>
  <c r="F234" i="11"/>
  <c r="F233" i="11"/>
  <c r="F232" i="11"/>
  <c r="F231" i="11"/>
  <c r="F230" i="11"/>
  <c r="F229" i="11"/>
  <c r="F228" i="11"/>
  <c r="F227" i="11"/>
  <c r="F226" i="11"/>
  <c r="F225" i="11"/>
  <c r="F224" i="11"/>
  <c r="F223" i="11"/>
  <c r="F222" i="11"/>
  <c r="F221" i="11"/>
  <c r="F220" i="11"/>
  <c r="F219" i="11"/>
  <c r="F218" i="11"/>
  <c r="F217" i="11"/>
  <c r="F216" i="11"/>
  <c r="F215" i="11"/>
  <c r="F214" i="11"/>
  <c r="F213" i="11"/>
  <c r="F212" i="11"/>
  <c r="F211" i="11"/>
  <c r="F210" i="11"/>
  <c r="F209" i="11"/>
  <c r="F208" i="11"/>
  <c r="F207" i="11"/>
  <c r="F206" i="11"/>
  <c r="F205" i="11"/>
  <c r="F204" i="11"/>
  <c r="F203" i="11"/>
  <c r="F202" i="11"/>
  <c r="F201" i="11"/>
  <c r="F200" i="11"/>
  <c r="F199" i="11"/>
  <c r="F198" i="11"/>
  <c r="F197" i="11"/>
  <c r="F196" i="11"/>
  <c r="F195" i="11"/>
  <c r="F194" i="11"/>
  <c r="F193" i="11"/>
  <c r="F192" i="11"/>
  <c r="F191" i="11"/>
  <c r="F190" i="11"/>
  <c r="F189" i="11"/>
  <c r="F188" i="11"/>
  <c r="F187" i="11"/>
  <c r="F186" i="11"/>
  <c r="F185" i="11"/>
  <c r="F184" i="11"/>
  <c r="F183" i="11"/>
  <c r="F182" i="11"/>
  <c r="F181" i="11"/>
  <c r="F180" i="11"/>
  <c r="F179" i="11"/>
  <c r="F178" i="11"/>
  <c r="F177" i="11"/>
  <c r="F176" i="11"/>
  <c r="F175" i="11"/>
  <c r="F174" i="11"/>
  <c r="F173" i="11"/>
  <c r="F172" i="11"/>
  <c r="F171" i="11"/>
  <c r="F170" i="11"/>
  <c r="F169" i="11"/>
  <c r="F168" i="11"/>
  <c r="F167" i="11"/>
  <c r="F166" i="11"/>
  <c r="F165" i="11"/>
  <c r="F164" i="11"/>
  <c r="F163" i="11"/>
  <c r="F162" i="11"/>
  <c r="F161" i="11"/>
  <c r="F160" i="11"/>
  <c r="F159" i="11"/>
  <c r="F158" i="11"/>
  <c r="F157" i="11"/>
  <c r="F156" i="11"/>
  <c r="F155" i="11"/>
  <c r="F154" i="11"/>
  <c r="F153" i="11"/>
  <c r="F152" i="11"/>
  <c r="F151" i="11"/>
  <c r="F150" i="11"/>
  <c r="F149" i="11"/>
  <c r="F148" i="11"/>
  <c r="F147" i="11"/>
  <c r="F146" i="11"/>
  <c r="F145" i="11"/>
  <c r="F144" i="11"/>
  <c r="F143" i="11"/>
  <c r="F142" i="11"/>
  <c r="F141" i="11"/>
  <c r="F140" i="11"/>
  <c r="F139" i="11"/>
  <c r="F138" i="11"/>
  <c r="F137" i="11"/>
  <c r="F136" i="11"/>
  <c r="F135" i="11"/>
  <c r="F134" i="11"/>
  <c r="F133" i="11"/>
  <c r="F132" i="11"/>
  <c r="F131" i="11"/>
  <c r="F130" i="11"/>
  <c r="F129" i="11"/>
  <c r="F128" i="11"/>
  <c r="F127" i="11"/>
  <c r="F126" i="11"/>
  <c r="F125" i="11"/>
  <c r="F124" i="11"/>
  <c r="F123" i="11"/>
  <c r="F122" i="11"/>
  <c r="F121" i="11"/>
  <c r="F120" i="11"/>
  <c r="F119" i="11"/>
  <c r="F118" i="11"/>
  <c r="F117" i="11"/>
  <c r="F116" i="11"/>
  <c r="F115" i="11"/>
  <c r="F114" i="11"/>
  <c r="F113" i="11"/>
  <c r="F112" i="11"/>
  <c r="F111" i="11"/>
  <c r="F110" i="11"/>
  <c r="F109" i="11"/>
  <c r="F108" i="11"/>
  <c r="F107" i="11"/>
  <c r="F106" i="11"/>
  <c r="F105" i="11"/>
  <c r="F104" i="11"/>
  <c r="F103" i="11"/>
  <c r="F102" i="11"/>
  <c r="F101" i="11"/>
  <c r="F100" i="11"/>
  <c r="F99" i="11"/>
  <c r="F98" i="11"/>
  <c r="F97" i="11"/>
  <c r="F96" i="11"/>
  <c r="F95" i="11"/>
  <c r="F94" i="11"/>
  <c r="F93" i="11"/>
  <c r="F92" i="11"/>
  <c r="F91" i="11"/>
  <c r="F90" i="11"/>
  <c r="F89" i="11"/>
  <c r="F88" i="11"/>
  <c r="F87" i="11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3" i="11"/>
  <c r="F366" i="11" s="1"/>
  <c r="F2" i="11"/>
  <c r="AA272" i="10"/>
  <c r="AA271" i="10"/>
  <c r="AA270" i="10"/>
  <c r="AA269" i="10"/>
  <c r="AA268" i="10"/>
  <c r="AA267" i="10"/>
  <c r="AA266" i="10"/>
  <c r="AA265" i="10"/>
  <c r="AA264" i="10"/>
  <c r="AA263" i="10"/>
  <c r="AA262" i="10"/>
  <c r="AA261" i="10"/>
  <c r="AA260" i="10"/>
  <c r="AA259" i="10"/>
  <c r="AA258" i="10"/>
  <c r="AA257" i="10"/>
  <c r="AA256" i="10"/>
  <c r="AA255" i="10"/>
  <c r="AA254" i="10"/>
  <c r="AA253" i="10"/>
  <c r="AA252" i="10"/>
  <c r="AA251" i="10"/>
  <c r="AA250" i="10"/>
  <c r="AA249" i="10"/>
  <c r="AA248" i="10"/>
  <c r="AA247" i="10"/>
  <c r="AA246" i="10"/>
  <c r="AA245" i="10"/>
  <c r="AA244" i="10"/>
  <c r="AA243" i="10"/>
  <c r="AA242" i="10"/>
  <c r="AA241" i="10"/>
  <c r="AA240" i="10"/>
  <c r="AA239" i="10"/>
  <c r="AA238" i="10"/>
  <c r="AA237" i="10"/>
  <c r="AA236" i="10"/>
  <c r="AA235" i="10"/>
  <c r="AA234" i="10"/>
  <c r="AA233" i="10"/>
  <c r="AA232" i="10"/>
  <c r="AA231" i="10"/>
  <c r="AA230" i="10"/>
  <c r="AA229" i="10"/>
  <c r="AA228" i="10"/>
  <c r="AA227" i="10"/>
  <c r="AA226" i="10"/>
  <c r="AA225" i="10"/>
  <c r="AA224" i="10"/>
  <c r="AA223" i="10"/>
  <c r="AA222" i="10"/>
  <c r="AA221" i="10"/>
  <c r="AA220" i="10"/>
  <c r="AA219" i="10"/>
  <c r="AA218" i="10"/>
  <c r="AA217" i="10"/>
  <c r="AA216" i="10"/>
  <c r="AA215" i="10"/>
  <c r="AA214" i="10"/>
  <c r="AA213" i="10"/>
  <c r="AA212" i="10"/>
  <c r="AA211" i="10"/>
  <c r="AA210" i="10"/>
  <c r="AA209" i="10"/>
  <c r="AA208" i="10"/>
  <c r="AA207" i="10"/>
  <c r="AA206" i="10"/>
  <c r="AA205" i="10"/>
  <c r="AA204" i="10"/>
  <c r="AA203" i="10"/>
  <c r="AA202" i="10"/>
  <c r="AA201" i="10"/>
  <c r="AA200" i="10"/>
  <c r="AA199" i="10"/>
  <c r="AA198" i="10"/>
  <c r="AA197" i="10"/>
  <c r="AA196" i="10"/>
  <c r="AA195" i="10"/>
  <c r="AA194" i="10"/>
  <c r="AA193" i="10"/>
  <c r="AA192" i="10"/>
  <c r="AA191" i="10"/>
  <c r="AA190" i="10"/>
  <c r="AA189" i="10"/>
  <c r="AA188" i="10"/>
  <c r="AA187" i="10"/>
  <c r="AA186" i="10"/>
  <c r="AA185" i="10"/>
  <c r="AA184" i="10"/>
  <c r="AA183" i="10"/>
  <c r="AA182" i="10"/>
  <c r="AA181" i="10"/>
  <c r="AA180" i="10"/>
  <c r="AA179" i="10"/>
  <c r="AA178" i="10"/>
  <c r="AA177" i="10"/>
  <c r="F177" i="10"/>
  <c r="AA176" i="10"/>
  <c r="F176" i="10"/>
  <c r="AA175" i="10"/>
  <c r="F175" i="10"/>
  <c r="AA174" i="10"/>
  <c r="F174" i="10"/>
  <c r="AA173" i="10"/>
  <c r="F173" i="10"/>
  <c r="AA172" i="10"/>
  <c r="F172" i="10"/>
  <c r="AA171" i="10"/>
  <c r="F171" i="10"/>
  <c r="AA170" i="10"/>
  <c r="F170" i="10"/>
  <c r="AA169" i="10"/>
  <c r="F169" i="10"/>
  <c r="AA168" i="10"/>
  <c r="F168" i="10"/>
  <c r="AA167" i="10"/>
  <c r="F167" i="10"/>
  <c r="AA166" i="10"/>
  <c r="F166" i="10"/>
  <c r="AA165" i="10"/>
  <c r="F165" i="10"/>
  <c r="AA164" i="10"/>
  <c r="F164" i="10"/>
  <c r="AA163" i="10"/>
  <c r="F163" i="10"/>
  <c r="AA162" i="10"/>
  <c r="F162" i="10"/>
  <c r="AA161" i="10"/>
  <c r="F161" i="10"/>
  <c r="AA160" i="10"/>
  <c r="F160" i="10"/>
  <c r="AA159" i="10"/>
  <c r="F159" i="10"/>
  <c r="AA158" i="10"/>
  <c r="F158" i="10"/>
  <c r="AA157" i="10"/>
  <c r="F157" i="10"/>
  <c r="AA156" i="10"/>
  <c r="F156" i="10"/>
  <c r="AA155" i="10"/>
  <c r="F155" i="10"/>
  <c r="AA154" i="10"/>
  <c r="F154" i="10"/>
  <c r="AA153" i="10"/>
  <c r="F153" i="10"/>
  <c r="AA152" i="10"/>
  <c r="F152" i="10"/>
  <c r="AA151" i="10"/>
  <c r="F151" i="10"/>
  <c r="AA150" i="10"/>
  <c r="F150" i="10"/>
  <c r="AA149" i="10"/>
  <c r="F149" i="10"/>
  <c r="AA148" i="10"/>
  <c r="F148" i="10"/>
  <c r="AA147" i="10"/>
  <c r="F147" i="10"/>
  <c r="AA146" i="10"/>
  <c r="F146" i="10"/>
  <c r="AA145" i="10"/>
  <c r="F145" i="10"/>
  <c r="AA144" i="10"/>
  <c r="F144" i="10"/>
  <c r="AA143" i="10"/>
  <c r="F143" i="10"/>
  <c r="AA142" i="10"/>
  <c r="F142" i="10"/>
  <c r="AA141" i="10"/>
  <c r="F141" i="10"/>
  <c r="AA140" i="10"/>
  <c r="F140" i="10"/>
  <c r="AA139" i="10"/>
  <c r="F139" i="10"/>
  <c r="AA138" i="10"/>
  <c r="F138" i="10"/>
  <c r="AA137" i="10"/>
  <c r="F137" i="10"/>
  <c r="AA136" i="10"/>
  <c r="F136" i="10"/>
  <c r="AA135" i="10"/>
  <c r="F135" i="10"/>
  <c r="AA134" i="10"/>
  <c r="F134" i="10"/>
  <c r="AA133" i="10"/>
  <c r="F133" i="10"/>
  <c r="AA132" i="10"/>
  <c r="F132" i="10"/>
  <c r="AA131" i="10"/>
  <c r="F131" i="10"/>
  <c r="AA130" i="10"/>
  <c r="F130" i="10"/>
  <c r="AA129" i="10"/>
  <c r="F129" i="10"/>
  <c r="AA128" i="10"/>
  <c r="F128" i="10"/>
  <c r="AA127" i="10"/>
  <c r="F127" i="10"/>
  <c r="AA126" i="10"/>
  <c r="F126" i="10"/>
  <c r="AA125" i="10"/>
  <c r="F125" i="10"/>
  <c r="AA124" i="10"/>
  <c r="F124" i="10"/>
  <c r="AA123" i="10"/>
  <c r="F123" i="10"/>
  <c r="AA122" i="10"/>
  <c r="F122" i="10"/>
  <c r="AA121" i="10"/>
  <c r="F121" i="10"/>
  <c r="AA120" i="10"/>
  <c r="F120" i="10"/>
  <c r="AA119" i="10"/>
  <c r="F119" i="10"/>
  <c r="AA118" i="10"/>
  <c r="F118" i="10"/>
  <c r="AA117" i="10"/>
  <c r="F117" i="10"/>
  <c r="AA116" i="10"/>
  <c r="F116" i="10"/>
  <c r="AA115" i="10"/>
  <c r="F115" i="10"/>
  <c r="AA114" i="10"/>
  <c r="F114" i="10"/>
  <c r="AA113" i="10"/>
  <c r="F113" i="10"/>
  <c r="AA112" i="10"/>
  <c r="F112" i="10"/>
  <c r="AA111" i="10"/>
  <c r="F111" i="10"/>
  <c r="AA110" i="10"/>
  <c r="F110" i="10"/>
  <c r="AA109" i="10"/>
  <c r="F109" i="10"/>
  <c r="AA108" i="10"/>
  <c r="F108" i="10"/>
  <c r="AA107" i="10"/>
  <c r="F107" i="10"/>
  <c r="AA106" i="10"/>
  <c r="F106" i="10"/>
  <c r="AA105" i="10"/>
  <c r="F105" i="10"/>
  <c r="AA104" i="10"/>
  <c r="F104" i="10"/>
  <c r="AA103" i="10"/>
  <c r="F103" i="10"/>
  <c r="AA102" i="10"/>
  <c r="F102" i="10"/>
  <c r="AA101" i="10"/>
  <c r="F101" i="10"/>
  <c r="AA100" i="10"/>
  <c r="F100" i="10"/>
  <c r="AA99" i="10"/>
  <c r="F99" i="10"/>
  <c r="AA98" i="10"/>
  <c r="F98" i="10"/>
  <c r="AA97" i="10"/>
  <c r="F97" i="10"/>
  <c r="AA96" i="10"/>
  <c r="F96" i="10"/>
  <c r="AA95" i="10"/>
  <c r="F95" i="10"/>
  <c r="AA94" i="10"/>
  <c r="F94" i="10"/>
  <c r="AA93" i="10"/>
  <c r="F93" i="10"/>
  <c r="AA92" i="10"/>
  <c r="F92" i="10"/>
  <c r="AA91" i="10"/>
  <c r="F91" i="10"/>
  <c r="AA90" i="10"/>
  <c r="F90" i="10"/>
  <c r="AA89" i="10"/>
  <c r="F89" i="10"/>
  <c r="AA88" i="10"/>
  <c r="F88" i="10"/>
  <c r="AA87" i="10"/>
  <c r="F87" i="10"/>
  <c r="AA86" i="10"/>
  <c r="F86" i="10"/>
  <c r="AA85" i="10"/>
  <c r="F85" i="10"/>
  <c r="AA84" i="10"/>
  <c r="F84" i="10"/>
  <c r="AA83" i="10"/>
  <c r="F83" i="10"/>
  <c r="AA82" i="10"/>
  <c r="F82" i="10"/>
  <c r="AA81" i="10"/>
  <c r="F81" i="10"/>
  <c r="AA80" i="10"/>
  <c r="F80" i="10"/>
  <c r="AA79" i="10"/>
  <c r="F79" i="10"/>
  <c r="AA78" i="10"/>
  <c r="F78" i="10"/>
  <c r="AA77" i="10"/>
  <c r="F77" i="10"/>
  <c r="AA76" i="10"/>
  <c r="F76" i="10"/>
  <c r="AA75" i="10"/>
  <c r="F75" i="10"/>
  <c r="AA74" i="10"/>
  <c r="F74" i="10"/>
  <c r="AA73" i="10"/>
  <c r="F73" i="10"/>
  <c r="AA72" i="10"/>
  <c r="F72" i="10"/>
  <c r="AA71" i="10"/>
  <c r="F71" i="10"/>
  <c r="AA70" i="10"/>
  <c r="F70" i="10"/>
  <c r="AA69" i="10"/>
  <c r="F69" i="10"/>
  <c r="AA68" i="10"/>
  <c r="F68" i="10"/>
  <c r="AA67" i="10"/>
  <c r="F67" i="10"/>
  <c r="AA66" i="10"/>
  <c r="F66" i="10"/>
  <c r="AA65" i="10"/>
  <c r="F65" i="10"/>
  <c r="AA64" i="10"/>
  <c r="F64" i="10"/>
  <c r="AA63" i="10"/>
  <c r="F63" i="10"/>
  <c r="AA62" i="10"/>
  <c r="F62" i="10"/>
  <c r="AA61" i="10"/>
  <c r="F61" i="10"/>
  <c r="AA60" i="10"/>
  <c r="F60" i="10"/>
  <c r="AA59" i="10"/>
  <c r="F59" i="10"/>
  <c r="AA58" i="10"/>
  <c r="F58" i="10"/>
  <c r="AA57" i="10"/>
  <c r="F57" i="10"/>
  <c r="AA56" i="10"/>
  <c r="F56" i="10"/>
  <c r="AA55" i="10"/>
  <c r="F55" i="10"/>
  <c r="AA54" i="10"/>
  <c r="F54" i="10"/>
  <c r="AA53" i="10"/>
  <c r="F53" i="10"/>
  <c r="AA52" i="10"/>
  <c r="F52" i="10"/>
  <c r="AA51" i="10"/>
  <c r="F51" i="10"/>
  <c r="AA50" i="10"/>
  <c r="F50" i="10"/>
  <c r="AA49" i="10"/>
  <c r="F49" i="10"/>
  <c r="AA48" i="10"/>
  <c r="F48" i="10"/>
  <c r="AA47" i="10"/>
  <c r="F47" i="10"/>
  <c r="AA46" i="10"/>
  <c r="F46" i="10"/>
  <c r="AA45" i="10"/>
  <c r="F45" i="10"/>
  <c r="AA44" i="10"/>
  <c r="F44" i="10"/>
  <c r="AA43" i="10"/>
  <c r="F43" i="10"/>
  <c r="AA42" i="10"/>
  <c r="F42" i="10"/>
  <c r="AA41" i="10"/>
  <c r="F41" i="10"/>
  <c r="AA40" i="10"/>
  <c r="F40" i="10"/>
  <c r="AA39" i="10"/>
  <c r="F39" i="10"/>
  <c r="AA38" i="10"/>
  <c r="F38" i="10"/>
  <c r="AA37" i="10"/>
  <c r="F37" i="10"/>
  <c r="AA36" i="10"/>
  <c r="F36" i="10"/>
  <c r="AA35" i="10"/>
  <c r="F35" i="10"/>
  <c r="AA34" i="10"/>
  <c r="F34" i="10"/>
  <c r="AA33" i="10"/>
  <c r="F33" i="10"/>
  <c r="AA32" i="10"/>
  <c r="F32" i="10"/>
  <c r="AA31" i="10"/>
  <c r="F31" i="10"/>
  <c r="AA30" i="10"/>
  <c r="F30" i="10"/>
  <c r="AA29" i="10"/>
  <c r="F29" i="10"/>
  <c r="AA28" i="10"/>
  <c r="F28" i="10"/>
  <c r="AA27" i="10"/>
  <c r="F27" i="10"/>
  <c r="AA26" i="10"/>
  <c r="F26" i="10"/>
  <c r="AA25" i="10"/>
  <c r="F25" i="10"/>
  <c r="AA24" i="10"/>
  <c r="F24" i="10"/>
  <c r="AA23" i="10"/>
  <c r="F23" i="10"/>
  <c r="AA22" i="10"/>
  <c r="F22" i="10"/>
  <c r="AA21" i="10"/>
  <c r="F21" i="10"/>
  <c r="AA20" i="10"/>
  <c r="F20" i="10"/>
  <c r="AA19" i="10"/>
  <c r="F19" i="10"/>
  <c r="AA18" i="10"/>
  <c r="F18" i="10"/>
  <c r="AA17" i="10"/>
  <c r="F17" i="10"/>
  <c r="AA16" i="10"/>
  <c r="F16" i="10"/>
  <c r="AA15" i="10"/>
  <c r="F15" i="10"/>
  <c r="AA14" i="10"/>
  <c r="F14" i="10"/>
  <c r="AA13" i="10"/>
  <c r="F13" i="10"/>
  <c r="AA12" i="10"/>
  <c r="F12" i="10"/>
  <c r="AA11" i="10"/>
  <c r="F11" i="10"/>
  <c r="AA10" i="10"/>
  <c r="F10" i="10"/>
  <c r="AA9" i="10"/>
  <c r="F9" i="10"/>
  <c r="AA8" i="10"/>
  <c r="F8" i="10"/>
  <c r="AA7" i="10"/>
  <c r="F7" i="10"/>
  <c r="AA6" i="10"/>
  <c r="F6" i="10"/>
  <c r="AA5" i="10"/>
  <c r="F5" i="10"/>
  <c r="AA4" i="10"/>
  <c r="F4" i="10"/>
  <c r="AA3" i="10"/>
  <c r="F3" i="10"/>
  <c r="AA2" i="10"/>
  <c r="F2" i="10"/>
  <c r="F11" i="9"/>
  <c r="B9" i="1" s="1"/>
  <c r="F10" i="9"/>
  <c r="F9" i="9"/>
  <c r="F8" i="9"/>
  <c r="F7" i="9"/>
  <c r="F6" i="9"/>
  <c r="F5" i="9"/>
  <c r="F4" i="9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5" i="8"/>
  <c r="F4" i="8"/>
  <c r="F3" i="8"/>
  <c r="F25" i="8" s="1"/>
  <c r="F2" i="8"/>
  <c r="F9" i="7"/>
  <c r="F8" i="7"/>
  <c r="F7" i="7"/>
  <c r="F6" i="7"/>
  <c r="F5" i="7"/>
  <c r="F4" i="7"/>
  <c r="F3" i="7"/>
  <c r="F2" i="7"/>
  <c r="F10" i="7" s="1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3" i="5" s="1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38" i="4" s="1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45" i="3" s="1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139" i="2" s="1"/>
  <c r="F178" i="10" l="1"/>
  <c r="AA273" i="10"/>
</calcChain>
</file>

<file path=xl/sharedStrings.xml><?xml version="1.0" encoding="utf-8"?>
<sst xmlns="http://schemas.openxmlformats.org/spreadsheetml/2006/main" count="4230" uniqueCount="89">
  <si>
    <t>Время</t>
  </si>
  <si>
    <t>Инструмент</t>
  </si>
  <si>
    <t>Операция</t>
  </si>
  <si>
    <t>Цена</t>
  </si>
  <si>
    <t>Кол-во</t>
  </si>
  <si>
    <t>Фин рез</t>
  </si>
  <si>
    <t>GDH1 [МБ Деривативы: Фьючерсы]</t>
  </si>
  <si>
    <t>Продажа</t>
  </si>
  <si>
    <t>Купля</t>
  </si>
  <si>
    <t>SVH1 [МБ Деривативы: Фьючерсы]</t>
  </si>
  <si>
    <t>NGH1 [МБ Деривативы: Фьючерсы]</t>
  </si>
  <si>
    <t>BRJ1 [МБ Деривативы: Фьючерсы]</t>
  </si>
  <si>
    <t>BRK1 [МБ Деривативы: Фьючерсы]</t>
  </si>
  <si>
    <t>Код инструмента</t>
  </si>
  <si>
    <t>NGH1</t>
  </si>
  <si>
    <t>(сделок не было)</t>
  </si>
  <si>
    <t>Счет</t>
  </si>
  <si>
    <t>BRK1</t>
  </si>
  <si>
    <t>GDH1</t>
  </si>
  <si>
    <t>BRJ1</t>
  </si>
  <si>
    <t>Инструмент сокр.</t>
  </si>
  <si>
    <t>SiM1</t>
  </si>
  <si>
    <t>U7A0067</t>
  </si>
  <si>
    <t>SiH1</t>
  </si>
  <si>
    <t>Дата сделки</t>
  </si>
  <si>
    <t>SVH1</t>
  </si>
  <si>
    <t>traderbotFT8@yandex.ru</t>
  </si>
  <si>
    <t>VPX8288.032</t>
  </si>
  <si>
    <t>B.ICE.M2021</t>
  </si>
  <si>
    <t>USD</t>
  </si>
  <si>
    <t>Sell</t>
  </si>
  <si>
    <t>46af0540-5713-4b8a-9c1b-21bfbb107210</t>
  </si>
  <si>
    <t>1625d27a-5eaa-426f-a1d0-f85cf773d9f3</t>
  </si>
  <si>
    <t>Buy</t>
  </si>
  <si>
    <t>96520ccf-e871-4f9a-bf0f-f40e81845a02</t>
  </si>
  <si>
    <t>d95718f3-3d7f-4dce-b52a-698f8e985992</t>
  </si>
  <si>
    <t>B.ICE.K2021</t>
  </si>
  <si>
    <t>6ef195fe-d519-4176-aa9c-c5254f883ca0</t>
  </si>
  <si>
    <t>3a501016-741e-4b15-b1c0-6a2903d4a0e4</t>
  </si>
  <si>
    <t>NG.NYMEX.J2021</t>
  </si>
  <si>
    <t>d9a08450-0561-4d2c-b84e-761060b44b9f</t>
  </si>
  <si>
    <t>SI.COMEX.K2021</t>
  </si>
  <si>
    <t>940b8af9-ba55-4292-8643-6e3557686641</t>
  </si>
  <si>
    <t>316ff7d4-8dae-4fe3-8989-d100fcfb453c</t>
  </si>
  <si>
    <t>768163cb-e78b-407d-92f3-47f1edc385cd</t>
  </si>
  <si>
    <t>3b41ad00-7960-405e-9df5-48d1e8383dc2</t>
  </si>
  <si>
    <t>GC.COMEX.J2021</t>
  </si>
  <si>
    <t>9d87263e-747f-4b27-9f9e-c3a6e27c8f35</t>
  </si>
  <si>
    <t>dc83fdf7-79f0-4b92-ab73-771163d05710</t>
  </si>
  <si>
    <t>1062ccb0-0918-47e5-b66f-308e9067c7fb</t>
  </si>
  <si>
    <t>3550762a-7619-43b5-960b-acb54e038ce5</t>
  </si>
  <si>
    <t>68b7f3b4-7dbd-4b22-9ed0-2e73930edbdf</t>
  </si>
  <si>
    <t>7ca81511-c9bb-47c6-b2d3-ad7507efb002</t>
  </si>
  <si>
    <t>3c41753a-f574-464c-99ed-f14212fae28b</t>
  </si>
  <si>
    <t>7997fdfb-62bc-4288-b1a1-c9b5169c7872</t>
  </si>
  <si>
    <t>ef04f249-affb-4e6f-9975-068b0b55deca</t>
  </si>
  <si>
    <t>e2f3459b-22c1-4f30-b2b2-75c6d4d823bc</t>
  </si>
  <si>
    <t>b3784baf-d492-4107-8862-bcbbbc838859</t>
  </si>
  <si>
    <t>32ab27fb-9185-4150-93d2-efb8960c7217</t>
  </si>
  <si>
    <t>0eac0f62-8c8f-49bf-af5f-0c506b3c3bef</t>
  </si>
  <si>
    <t>60ff8cb1-4cb1-44bd-891c-d8e62b46d607</t>
  </si>
  <si>
    <t>d37122cc-158a-49d6-96a8-056cca341742</t>
  </si>
  <si>
    <t>f7fe63e9-0d9a-4aba-b09e-e0fd9b587a36</t>
  </si>
  <si>
    <t>dc13107b-0a12-4fb7-b9b8-47d9a67b8a86</t>
  </si>
  <si>
    <t>e098cc34-c235-40b9-8358-b807d710700b</t>
  </si>
  <si>
    <t>8be6d462-9566-4189-814c-98eb439acfe2</t>
  </si>
  <si>
    <t>d9f38789-ce27-454d-a9aa-8648202fb80b</t>
  </si>
  <si>
    <t>604db3e0-d84f-43f5-9c0a-29a8133a4578</t>
  </si>
  <si>
    <t>c4f212f7-fafe-4612-9274-348c7a0bacaf</t>
  </si>
  <si>
    <t>0589d008-e6ae-4359-92cc-ff9810df9012</t>
  </si>
  <si>
    <t>Пользователь</t>
  </si>
  <si>
    <t>счет</t>
  </si>
  <si>
    <t>дата</t>
  </si>
  <si>
    <t>id</t>
  </si>
  <si>
    <t>валюта</t>
  </si>
  <si>
    <t>направление</t>
  </si>
  <si>
    <t>количесво</t>
  </si>
  <si>
    <t>цена</t>
  </si>
  <si>
    <t>комиссия</t>
  </si>
  <si>
    <t>номер</t>
  </si>
  <si>
    <t>p&amp;l</t>
  </si>
  <si>
    <t>фин рез</t>
  </si>
  <si>
    <t>70d61a28-3529-4a36-9466-663625b48861</t>
  </si>
  <si>
    <t>9aa193a4-9898-4ef2-872e-50ad97168784</t>
  </si>
  <si>
    <t>a1d8ecb6-c339-421a-ba2b-53419e6eb2fb</t>
  </si>
  <si>
    <t>02e00cde-18d1-44ae-8b9a-71b1db3413da</t>
  </si>
  <si>
    <t>b9208da8-6912-42f6-a417-53b820eab65b</t>
  </si>
  <si>
    <t>Мос биржа</t>
  </si>
  <si>
    <t>Exante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</si>
</sst>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#,000"/>
    <numFmt numFmtId="166" formatCode="dd\.mm\.yyyy"/>
  </numFmts>
  <fonts count="12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b/>
      <sz val="10"/>
      <color theme="1"/>
      <name val="Arial"/>
    </font>
    <font>
      <sz val="8"/>
      <color rgb="FF000000"/>
      <name val="&quot;Calibri&quot;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Arial"/>
    </font>
    <font>
      <sz val="8"/>
      <color theme="1"/>
      <name val="&quot;Calibri&quot;"/>
    </font>
    <font>
      <sz val="8"/>
      <name val="&quot;Calibri&quot;"/>
    </font>
    <font>
      <b/>
      <sz val="10"/>
      <color theme="1"/>
      <name val="&quot;Calibri&quot;"/>
    </font>
    <font>
      <b/>
      <sz val="10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4" fontId="1" fillId="0" borderId="0" xfId="0" applyNumberFormat="1" applyFont="1"/>
    <xf numFmtId="4" fontId="2" fillId="0" borderId="0" xfId="0" applyNumberFormat="1" applyFont="1" applyAlignment="1"/>
    <xf numFmtId="4" fontId="3" fillId="0" borderId="0" xfId="0" applyNumberFormat="1" applyFont="1"/>
    <xf numFmtId="0" fontId="4" fillId="0" borderId="0" xfId="0" applyFont="1" applyAlignment="1">
      <alignment horizontal="left"/>
    </xf>
    <xf numFmtId="4" fontId="4" fillId="0" borderId="0" xfId="0" applyNumberFormat="1" applyFont="1" applyAlignment="1">
      <alignment horizontal="left"/>
    </xf>
    <xf numFmtId="4" fontId="5" fillId="0" borderId="0" xfId="0" applyNumberFormat="1" applyFont="1" applyAlignment="1"/>
    <xf numFmtId="21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2" fillId="0" borderId="0" xfId="0" applyNumberFormat="1" applyFont="1"/>
    <xf numFmtId="4" fontId="5" fillId="0" borderId="0" xfId="0" applyNumberFormat="1" applyFont="1"/>
    <xf numFmtId="0" fontId="4" fillId="0" borderId="0" xfId="0" applyFont="1" applyAlignment="1">
      <alignment horizontal="right"/>
    </xf>
    <xf numFmtId="4" fontId="6" fillId="0" borderId="0" xfId="0" applyNumberFormat="1" applyFont="1"/>
    <xf numFmtId="4" fontId="7" fillId="0" borderId="0" xfId="0" applyNumberFormat="1" applyFont="1"/>
    <xf numFmtId="0" fontId="1" fillId="0" borderId="0" xfId="0" applyFont="1" applyAlignment="1">
      <alignment horizontal="right"/>
    </xf>
    <xf numFmtId="0" fontId="1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4" fontId="10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left"/>
    </xf>
    <xf numFmtId="166" fontId="4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22" fontId="0" fillId="0" borderId="0" xfId="0" applyNumberFormat="1" applyFont="1" applyAlignment="1"/>
    <xf numFmtId="21" fontId="0" fillId="0" borderId="0" xfId="0" applyNumberFormat="1" applyFont="1" applyAlignment="1"/>
    <xf numFmtId="14" fontId="0" fillId="0" borderId="0" xfId="0" applyNumberFormat="1" applyFont="1" applyAlignment="1"/>
    <xf numFmtId="0" fontId="11" fillId="0" borderId="0" xfId="0" applyFont="1" applyAlignment="1"/>
    <xf numFmtId="21" fontId="8" fillId="0" borderId="0" xfId="0" applyNumberFormat="1" applyFont="1" applyAlignment="1">
      <alignment horizontal="left"/>
    </xf>
    <xf numFmtId="16" fontId="0" fillId="0" borderId="0" xfId="0" applyNumberFormat="1" applyFont="1" applyAlignment="1"/>
    <xf numFmtId="4" fontId="0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1"/>
  <sheetViews>
    <sheetView workbookViewId="0">
      <selection activeCell="B15" sqref="B15"/>
    </sheetView>
  </sheetViews>
  <sheetFormatPr defaultColWidth="14.42578125" defaultRowHeight="15.75" customHeight="1"/>
  <sheetData>
    <row r="1" spans="1:4">
      <c r="A1" t="s">
        <v>87</v>
      </c>
      <c r="D1" t="s">
        <v>88</v>
      </c>
    </row>
    <row r="2" spans="1:4">
      <c r="A2" s="28">
        <v>44258</v>
      </c>
      <c r="B2" s="29">
        <f>'03.03.21'!F139</f>
        <v>-654.85399999992228</v>
      </c>
    </row>
    <row r="3" spans="1:4">
      <c r="A3" s="28">
        <v>44259</v>
      </c>
      <c r="B3" s="29">
        <f>'04.03.21'!F45</f>
        <v>35.989999999997963</v>
      </c>
    </row>
    <row r="4" spans="1:4">
      <c r="A4" s="28">
        <v>44260</v>
      </c>
      <c r="B4" s="29">
        <f>'05.03.21'!F38</f>
        <v>-20343.043000000027</v>
      </c>
    </row>
    <row r="5" spans="1:4">
      <c r="A5" s="28">
        <v>44264</v>
      </c>
      <c r="B5" s="29">
        <f>'09.03.21'!F23</f>
        <v>-1.7000000000025661E-2</v>
      </c>
    </row>
    <row r="6" spans="1:4">
      <c r="A6" s="28">
        <v>44265</v>
      </c>
      <c r="B6">
        <v>0</v>
      </c>
    </row>
    <row r="7" spans="1:4">
      <c r="A7" s="28">
        <v>44266</v>
      </c>
      <c r="B7" s="29">
        <f>'11.03.21'!F10</f>
        <v>-6713.1699999999983</v>
      </c>
    </row>
    <row r="8" spans="1:4">
      <c r="A8" s="28">
        <v>44267</v>
      </c>
      <c r="B8" s="29">
        <f>'12.03.21'!F25</f>
        <v>171645.505</v>
      </c>
    </row>
    <row r="9" spans="1:4">
      <c r="A9" s="28">
        <v>44270</v>
      </c>
      <c r="B9" s="29">
        <f>'15.03.21'!F11</f>
        <v>-30.404444444443772</v>
      </c>
    </row>
    <row r="10" spans="1:4">
      <c r="A10" s="28">
        <v>44271</v>
      </c>
      <c r="B10">
        <f>'16.03.21'!N75</f>
        <v>249.46400000000023</v>
      </c>
    </row>
    <row r="11" spans="1:4">
      <c r="A11" s="28">
        <v>44272</v>
      </c>
      <c r="B11">
        <f>'17.03.21'!M91</f>
        <v>193783.28300000005</v>
      </c>
    </row>
    <row r="12" spans="1:4">
      <c r="A12" s="28">
        <v>44273</v>
      </c>
      <c r="B12">
        <f>'18.03.21'!N10</f>
        <v>28.770000000000437</v>
      </c>
    </row>
    <row r="13" spans="1:4">
      <c r="A13" s="28">
        <v>44274</v>
      </c>
      <c r="B13">
        <f>'19.03.21'!H72</f>
        <v>-18741.953999999987</v>
      </c>
    </row>
    <row r="14" spans="1:4">
      <c r="B14" s="1">
        <f>SUM(B2:B13)</f>
        <v>319259.56955555576</v>
      </c>
      <c r="D14">
        <f>Exante!L45</f>
        <v>0.6479999999996835</v>
      </c>
    </row>
    <row r="15" spans="1:4">
      <c r="B15" s="1"/>
    </row>
    <row r="16" spans="1:4">
      <c r="B16" s="1"/>
    </row>
    <row r="17" spans="2:2">
      <c r="B17" s="1"/>
    </row>
    <row r="18" spans="2:2">
      <c r="B18" s="1"/>
    </row>
    <row r="19" spans="2:2">
      <c r="B19" s="1"/>
    </row>
    <row r="20" spans="2:2">
      <c r="B20" s="1"/>
    </row>
    <row r="21" spans="2:2">
      <c r="B21" s="1"/>
    </row>
    <row r="22" spans="2:2">
      <c r="B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  <row r="27" spans="2:2">
      <c r="B27" s="1"/>
    </row>
    <row r="28" spans="2:2">
      <c r="B28" s="1"/>
    </row>
    <row r="29" spans="2:2">
      <c r="B29" s="1"/>
    </row>
    <row r="30" spans="2:2">
      <c r="B30" s="1"/>
    </row>
    <row r="31" spans="2:2">
      <c r="B31" s="1"/>
    </row>
    <row r="32" spans="2:2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  <row r="43" spans="2:2">
      <c r="B43" s="1"/>
    </row>
    <row r="44" spans="2:2">
      <c r="B44" s="1"/>
    </row>
    <row r="45" spans="2:2">
      <c r="B45" s="1"/>
    </row>
    <row r="46" spans="2:2">
      <c r="B46" s="1"/>
    </row>
    <row r="47" spans="2:2">
      <c r="B47" s="1"/>
    </row>
    <row r="48" spans="2:2">
      <c r="B48" s="1"/>
    </row>
    <row r="49" spans="2:2">
      <c r="B49" s="1"/>
    </row>
    <row r="50" spans="2:2">
      <c r="B50" s="1"/>
    </row>
    <row r="51" spans="2:2">
      <c r="B51" s="1"/>
    </row>
    <row r="52" spans="2:2">
      <c r="B52" s="1"/>
    </row>
    <row r="53" spans="2:2">
      <c r="B53" s="1"/>
    </row>
    <row r="54" spans="2:2">
      <c r="B54" s="1"/>
    </row>
    <row r="55" spans="2:2">
      <c r="B55" s="1"/>
    </row>
    <row r="56" spans="2:2">
      <c r="B56" s="1"/>
    </row>
    <row r="57" spans="2:2">
      <c r="B57" s="1"/>
    </row>
    <row r="58" spans="2:2">
      <c r="B58" s="1"/>
    </row>
    <row r="59" spans="2:2">
      <c r="B59" s="1"/>
    </row>
    <row r="60" spans="2:2">
      <c r="B60" s="1"/>
    </row>
    <row r="61" spans="2:2">
      <c r="B61" s="1"/>
    </row>
    <row r="62" spans="2:2">
      <c r="B62" s="1"/>
    </row>
    <row r="63" spans="2:2">
      <c r="B63" s="1"/>
    </row>
    <row r="64" spans="2:2">
      <c r="B64" s="1"/>
    </row>
    <row r="65" spans="2:2">
      <c r="B65" s="1"/>
    </row>
    <row r="66" spans="2:2">
      <c r="B66" s="1"/>
    </row>
    <row r="67" spans="2:2">
      <c r="B67" s="1"/>
    </row>
    <row r="68" spans="2:2">
      <c r="B68" s="1"/>
    </row>
    <row r="69" spans="2:2">
      <c r="B69" s="1"/>
    </row>
    <row r="70" spans="2:2">
      <c r="B70" s="1"/>
    </row>
    <row r="71" spans="2:2">
      <c r="B71" s="1"/>
    </row>
    <row r="72" spans="2:2">
      <c r="B72" s="1"/>
    </row>
    <row r="73" spans="2:2">
      <c r="B73" s="1"/>
    </row>
    <row r="74" spans="2:2">
      <c r="B74" s="1"/>
    </row>
    <row r="75" spans="2:2">
      <c r="B75" s="1"/>
    </row>
    <row r="76" spans="2:2">
      <c r="B76" s="1"/>
    </row>
    <row r="77" spans="2:2">
      <c r="B77" s="1"/>
    </row>
    <row r="78" spans="2:2">
      <c r="B78" s="1"/>
    </row>
    <row r="79" spans="2:2">
      <c r="B79" s="1"/>
    </row>
    <row r="80" spans="2:2">
      <c r="B80" s="1"/>
    </row>
    <row r="81" spans="2:2">
      <c r="B81" s="1"/>
    </row>
    <row r="82" spans="2:2">
      <c r="B82" s="1"/>
    </row>
    <row r="83" spans="2:2">
      <c r="B83" s="1"/>
    </row>
    <row r="84" spans="2:2">
      <c r="B84" s="1"/>
    </row>
    <row r="85" spans="2:2">
      <c r="B85" s="1"/>
    </row>
    <row r="86" spans="2:2">
      <c r="B86" s="1"/>
    </row>
    <row r="87" spans="2:2">
      <c r="B87" s="1"/>
    </row>
    <row r="88" spans="2:2">
      <c r="B88" s="1"/>
    </row>
    <row r="89" spans="2:2">
      <c r="B89" s="1"/>
    </row>
    <row r="90" spans="2:2">
      <c r="B90" s="1"/>
    </row>
    <row r="91" spans="2:2">
      <c r="B91" s="1"/>
    </row>
    <row r="92" spans="2:2">
      <c r="B92" s="1"/>
    </row>
    <row r="93" spans="2:2">
      <c r="B93" s="1"/>
    </row>
    <row r="94" spans="2:2">
      <c r="B94" s="1"/>
    </row>
    <row r="95" spans="2:2">
      <c r="B95" s="1"/>
    </row>
    <row r="96" spans="2:2">
      <c r="B96" s="1"/>
    </row>
    <row r="97" spans="2:2">
      <c r="B97" s="1"/>
    </row>
    <row r="98" spans="2:2">
      <c r="B98" s="1"/>
    </row>
    <row r="99" spans="2:2">
      <c r="B99" s="1"/>
    </row>
    <row r="100" spans="2:2">
      <c r="B100" s="1"/>
    </row>
    <row r="101" spans="2:2">
      <c r="B101" s="1"/>
    </row>
    <row r="102" spans="2:2">
      <c r="B102" s="1"/>
    </row>
    <row r="103" spans="2:2">
      <c r="B103" s="1"/>
    </row>
    <row r="104" spans="2:2">
      <c r="B104" s="1"/>
    </row>
    <row r="105" spans="2:2">
      <c r="B105" s="1"/>
    </row>
    <row r="106" spans="2:2">
      <c r="B106" s="1"/>
    </row>
    <row r="107" spans="2:2">
      <c r="B107" s="1"/>
    </row>
    <row r="108" spans="2:2">
      <c r="B108" s="1"/>
    </row>
    <row r="109" spans="2:2">
      <c r="B109" s="1"/>
    </row>
    <row r="110" spans="2:2">
      <c r="B110" s="1"/>
    </row>
    <row r="111" spans="2:2">
      <c r="B111" s="1"/>
    </row>
    <row r="112" spans="2:2">
      <c r="B112" s="1"/>
    </row>
    <row r="113" spans="2:2">
      <c r="B113" s="1"/>
    </row>
    <row r="114" spans="2:2">
      <c r="B114" s="1"/>
    </row>
    <row r="115" spans="2:2">
      <c r="B115" s="1"/>
    </row>
    <row r="116" spans="2:2">
      <c r="B116" s="1"/>
    </row>
    <row r="117" spans="2:2">
      <c r="B117" s="1"/>
    </row>
    <row r="118" spans="2:2">
      <c r="B118" s="1"/>
    </row>
    <row r="119" spans="2:2">
      <c r="B119" s="1"/>
    </row>
    <row r="120" spans="2:2">
      <c r="B120" s="1"/>
    </row>
    <row r="121" spans="2:2">
      <c r="B121" s="1"/>
    </row>
    <row r="122" spans="2:2">
      <c r="B122" s="1"/>
    </row>
    <row r="123" spans="2:2">
      <c r="B123" s="1"/>
    </row>
    <row r="124" spans="2:2">
      <c r="B124" s="1"/>
    </row>
    <row r="125" spans="2:2">
      <c r="B125" s="1"/>
    </row>
    <row r="126" spans="2:2">
      <c r="B126" s="1"/>
    </row>
    <row r="127" spans="2:2">
      <c r="B127" s="1"/>
    </row>
    <row r="128" spans="2:2">
      <c r="B128" s="1"/>
    </row>
    <row r="129" spans="2:2">
      <c r="B129" s="1"/>
    </row>
    <row r="130" spans="2:2">
      <c r="B130" s="1"/>
    </row>
    <row r="131" spans="2:2">
      <c r="B131" s="1"/>
    </row>
    <row r="132" spans="2:2">
      <c r="B132" s="1"/>
    </row>
    <row r="133" spans="2:2">
      <c r="B133" s="1"/>
    </row>
    <row r="134" spans="2:2">
      <c r="B134" s="1"/>
    </row>
    <row r="135" spans="2:2">
      <c r="B135" s="1"/>
    </row>
    <row r="136" spans="2:2">
      <c r="B136" s="1"/>
    </row>
    <row r="137" spans="2:2">
      <c r="B137" s="1"/>
    </row>
    <row r="138" spans="2:2">
      <c r="B138" s="1"/>
    </row>
    <row r="139" spans="2:2">
      <c r="B139" s="1"/>
    </row>
    <row r="140" spans="2:2">
      <c r="B140" s="1"/>
    </row>
    <row r="141" spans="2:2">
      <c r="B141" s="1"/>
    </row>
    <row r="142" spans="2:2">
      <c r="B142" s="1"/>
    </row>
    <row r="143" spans="2:2">
      <c r="B143" s="1"/>
    </row>
    <row r="144" spans="2:2">
      <c r="B144" s="1"/>
    </row>
    <row r="145" spans="2:2">
      <c r="B145" s="1"/>
    </row>
    <row r="146" spans="2:2">
      <c r="B146" s="1"/>
    </row>
    <row r="147" spans="2:2">
      <c r="B147" s="1"/>
    </row>
    <row r="148" spans="2:2">
      <c r="B148" s="1"/>
    </row>
    <row r="149" spans="2:2">
      <c r="B149" s="1"/>
    </row>
    <row r="150" spans="2:2">
      <c r="B150" s="1"/>
    </row>
    <row r="151" spans="2:2">
      <c r="B151" s="1"/>
    </row>
    <row r="152" spans="2:2">
      <c r="B152" s="1"/>
    </row>
    <row r="153" spans="2:2">
      <c r="B153" s="1"/>
    </row>
    <row r="154" spans="2:2">
      <c r="B154" s="1"/>
    </row>
    <row r="155" spans="2:2">
      <c r="B155" s="1"/>
    </row>
    <row r="156" spans="2:2">
      <c r="B156" s="1"/>
    </row>
    <row r="157" spans="2:2">
      <c r="B157" s="1"/>
    </row>
    <row r="158" spans="2:2">
      <c r="B158" s="1"/>
    </row>
    <row r="159" spans="2:2">
      <c r="B159" s="1"/>
    </row>
    <row r="160" spans="2:2">
      <c r="B160" s="1"/>
    </row>
    <row r="161" spans="2:2">
      <c r="B161" s="1"/>
    </row>
    <row r="162" spans="2:2">
      <c r="B162" s="1"/>
    </row>
    <row r="163" spans="2:2">
      <c r="B163" s="1"/>
    </row>
    <row r="164" spans="2:2">
      <c r="B164" s="1"/>
    </row>
    <row r="165" spans="2:2">
      <c r="B165" s="1"/>
    </row>
    <row r="166" spans="2:2">
      <c r="B166" s="1"/>
    </row>
    <row r="167" spans="2:2">
      <c r="B167" s="1"/>
    </row>
    <row r="168" spans="2:2">
      <c r="B168" s="1"/>
    </row>
    <row r="169" spans="2:2">
      <c r="B169" s="1"/>
    </row>
    <row r="170" spans="2:2">
      <c r="B170" s="1"/>
    </row>
    <row r="171" spans="2:2">
      <c r="B171" s="1"/>
    </row>
    <row r="172" spans="2:2">
      <c r="B172" s="1"/>
    </row>
    <row r="173" spans="2:2">
      <c r="B173" s="1"/>
    </row>
    <row r="174" spans="2:2">
      <c r="B174" s="1"/>
    </row>
    <row r="175" spans="2:2">
      <c r="B175" s="1"/>
    </row>
    <row r="176" spans="2:2">
      <c r="B176" s="1"/>
    </row>
    <row r="177" spans="2:2">
      <c r="B177" s="1"/>
    </row>
    <row r="178" spans="2:2">
      <c r="B178" s="1"/>
    </row>
    <row r="179" spans="2:2">
      <c r="B179" s="1"/>
    </row>
    <row r="180" spans="2:2">
      <c r="B180" s="1"/>
    </row>
    <row r="181" spans="2:2">
      <c r="B181" s="1"/>
    </row>
    <row r="182" spans="2:2">
      <c r="B182" s="1"/>
    </row>
    <row r="183" spans="2:2">
      <c r="B183" s="1"/>
    </row>
    <row r="184" spans="2:2">
      <c r="B184" s="1"/>
    </row>
    <row r="185" spans="2:2">
      <c r="B185" s="1"/>
    </row>
    <row r="186" spans="2:2">
      <c r="B186" s="1"/>
    </row>
    <row r="187" spans="2:2">
      <c r="B187" s="1"/>
    </row>
    <row r="188" spans="2:2">
      <c r="B188" s="1"/>
    </row>
    <row r="189" spans="2:2">
      <c r="B189" s="1"/>
    </row>
    <row r="190" spans="2:2">
      <c r="B190" s="1"/>
    </row>
    <row r="191" spans="2:2">
      <c r="B191" s="1"/>
    </row>
    <row r="192" spans="2:2">
      <c r="B192" s="1"/>
    </row>
    <row r="193" spans="2:2">
      <c r="B193" s="1"/>
    </row>
    <row r="194" spans="2:2">
      <c r="B194" s="1"/>
    </row>
    <row r="195" spans="2:2">
      <c r="B195" s="1"/>
    </row>
    <row r="196" spans="2:2">
      <c r="B196" s="1"/>
    </row>
    <row r="197" spans="2:2">
      <c r="B197" s="1"/>
    </row>
    <row r="198" spans="2:2">
      <c r="B198" s="1"/>
    </row>
    <row r="199" spans="2:2">
      <c r="B199" s="1"/>
    </row>
    <row r="200" spans="2:2">
      <c r="B200" s="1"/>
    </row>
    <row r="201" spans="2:2">
      <c r="B201" s="1"/>
    </row>
    <row r="202" spans="2:2">
      <c r="B202" s="1"/>
    </row>
    <row r="203" spans="2:2">
      <c r="B203" s="1"/>
    </row>
    <row r="204" spans="2:2">
      <c r="B204" s="1"/>
    </row>
    <row r="205" spans="2:2">
      <c r="B205" s="1"/>
    </row>
    <row r="206" spans="2:2">
      <c r="B206" s="1"/>
    </row>
    <row r="207" spans="2:2">
      <c r="B207" s="1"/>
    </row>
    <row r="208" spans="2:2">
      <c r="B208" s="1"/>
    </row>
    <row r="209" spans="2:2">
      <c r="B209" s="1"/>
    </row>
    <row r="210" spans="2:2">
      <c r="B210" s="1"/>
    </row>
    <row r="211" spans="2:2">
      <c r="B211" s="1"/>
    </row>
    <row r="212" spans="2:2">
      <c r="B212" s="1"/>
    </row>
    <row r="213" spans="2:2">
      <c r="B213" s="1"/>
    </row>
    <row r="214" spans="2:2">
      <c r="B214" s="1"/>
    </row>
    <row r="215" spans="2:2">
      <c r="B215" s="1"/>
    </row>
    <row r="216" spans="2:2">
      <c r="B216" s="1"/>
    </row>
    <row r="217" spans="2:2">
      <c r="B217" s="1"/>
    </row>
    <row r="218" spans="2:2">
      <c r="B218" s="1"/>
    </row>
    <row r="219" spans="2:2">
      <c r="B219" s="1"/>
    </row>
    <row r="220" spans="2:2">
      <c r="B220" s="1"/>
    </row>
    <row r="221" spans="2:2">
      <c r="B221" s="1"/>
    </row>
    <row r="222" spans="2:2">
      <c r="B222" s="1"/>
    </row>
    <row r="223" spans="2:2">
      <c r="B223" s="1"/>
    </row>
    <row r="224" spans="2:2">
      <c r="B224" s="1"/>
    </row>
    <row r="225" spans="2:2">
      <c r="B225" s="1"/>
    </row>
    <row r="226" spans="2:2">
      <c r="B226" s="1"/>
    </row>
    <row r="227" spans="2:2">
      <c r="B227" s="1"/>
    </row>
    <row r="228" spans="2:2">
      <c r="B228" s="1"/>
    </row>
    <row r="229" spans="2:2">
      <c r="B229" s="1"/>
    </row>
    <row r="230" spans="2:2">
      <c r="B230" s="1"/>
    </row>
    <row r="231" spans="2:2">
      <c r="B231" s="1"/>
    </row>
    <row r="232" spans="2:2">
      <c r="B232" s="1"/>
    </row>
    <row r="233" spans="2:2">
      <c r="B233" s="1"/>
    </row>
    <row r="234" spans="2:2">
      <c r="B234" s="1"/>
    </row>
    <row r="235" spans="2:2">
      <c r="B235" s="1"/>
    </row>
    <row r="236" spans="2:2">
      <c r="B236" s="1"/>
    </row>
    <row r="237" spans="2:2">
      <c r="B237" s="1"/>
    </row>
    <row r="238" spans="2:2">
      <c r="B238" s="1"/>
    </row>
    <row r="239" spans="2:2">
      <c r="B239" s="1"/>
    </row>
    <row r="240" spans="2:2">
      <c r="B240" s="1"/>
    </row>
    <row r="241" spans="2:2">
      <c r="B241" s="1"/>
    </row>
    <row r="242" spans="2:2">
      <c r="B242" s="1"/>
    </row>
    <row r="243" spans="2:2">
      <c r="B243" s="1"/>
    </row>
    <row r="244" spans="2:2">
      <c r="B244" s="1"/>
    </row>
    <row r="245" spans="2:2">
      <c r="B245" s="1"/>
    </row>
    <row r="246" spans="2:2">
      <c r="B246" s="1"/>
    </row>
    <row r="247" spans="2:2">
      <c r="B247" s="1"/>
    </row>
    <row r="248" spans="2:2">
      <c r="B248" s="1"/>
    </row>
    <row r="249" spans="2:2">
      <c r="B249" s="1"/>
    </row>
    <row r="250" spans="2:2">
      <c r="B250" s="1"/>
    </row>
    <row r="251" spans="2:2">
      <c r="B251" s="1"/>
    </row>
    <row r="252" spans="2:2">
      <c r="B252" s="1"/>
    </row>
    <row r="253" spans="2:2">
      <c r="B253" s="1"/>
    </row>
    <row r="254" spans="2:2">
      <c r="B254" s="1"/>
    </row>
    <row r="255" spans="2:2">
      <c r="B255" s="1"/>
    </row>
    <row r="256" spans="2:2">
      <c r="B256" s="1"/>
    </row>
    <row r="257" spans="2:2">
      <c r="B257" s="1"/>
    </row>
    <row r="258" spans="2:2">
      <c r="B258" s="1"/>
    </row>
    <row r="259" spans="2:2">
      <c r="B259" s="1"/>
    </row>
    <row r="260" spans="2:2">
      <c r="B260" s="1"/>
    </row>
    <row r="261" spans="2:2">
      <c r="B261" s="1"/>
    </row>
    <row r="262" spans="2:2">
      <c r="B262" s="1"/>
    </row>
    <row r="263" spans="2:2">
      <c r="B263" s="1"/>
    </row>
    <row r="264" spans="2:2">
      <c r="B264" s="1"/>
    </row>
    <row r="265" spans="2:2">
      <c r="B265" s="1"/>
    </row>
    <row r="266" spans="2:2">
      <c r="B266" s="1"/>
    </row>
    <row r="267" spans="2:2">
      <c r="B267" s="1"/>
    </row>
    <row r="268" spans="2:2">
      <c r="B268" s="1"/>
    </row>
    <row r="269" spans="2:2">
      <c r="B269" s="1"/>
    </row>
    <row r="270" spans="2:2">
      <c r="B270" s="1"/>
    </row>
    <row r="271" spans="2:2">
      <c r="B271" s="1"/>
    </row>
    <row r="272" spans="2:2">
      <c r="B272" s="1"/>
    </row>
    <row r="273" spans="2:2">
      <c r="B273" s="1"/>
    </row>
    <row r="274" spans="2:2">
      <c r="B274" s="1"/>
    </row>
    <row r="275" spans="2:2">
      <c r="B275" s="1"/>
    </row>
    <row r="276" spans="2:2">
      <c r="B276" s="1"/>
    </row>
    <row r="277" spans="2:2">
      <c r="B277" s="1"/>
    </row>
    <row r="278" spans="2:2">
      <c r="B278" s="1"/>
    </row>
    <row r="279" spans="2:2">
      <c r="B279" s="1"/>
    </row>
    <row r="280" spans="2:2">
      <c r="B280" s="1"/>
    </row>
    <row r="281" spans="2:2">
      <c r="B281" s="1"/>
    </row>
    <row r="282" spans="2:2">
      <c r="B282" s="1"/>
    </row>
    <row r="283" spans="2:2">
      <c r="B283" s="1"/>
    </row>
    <row r="284" spans="2:2">
      <c r="B284" s="1"/>
    </row>
    <row r="285" spans="2:2">
      <c r="B285" s="1"/>
    </row>
    <row r="286" spans="2:2">
      <c r="B286" s="1"/>
    </row>
    <row r="287" spans="2:2">
      <c r="B287" s="1"/>
    </row>
    <row r="288" spans="2:2">
      <c r="B288" s="1"/>
    </row>
    <row r="289" spans="2:2">
      <c r="B289" s="1"/>
    </row>
    <row r="290" spans="2:2">
      <c r="B290" s="1"/>
    </row>
    <row r="291" spans="2:2">
      <c r="B291" s="1"/>
    </row>
    <row r="292" spans="2:2">
      <c r="B292" s="1"/>
    </row>
    <row r="293" spans="2:2">
      <c r="B293" s="1"/>
    </row>
    <row r="294" spans="2:2">
      <c r="B294" s="1"/>
    </row>
    <row r="295" spans="2:2">
      <c r="B295" s="1"/>
    </row>
    <row r="296" spans="2:2">
      <c r="B296" s="1"/>
    </row>
    <row r="297" spans="2:2">
      <c r="B297" s="1"/>
    </row>
    <row r="298" spans="2:2">
      <c r="B298" s="1"/>
    </row>
    <row r="299" spans="2:2">
      <c r="B299" s="1"/>
    </row>
    <row r="300" spans="2:2">
      <c r="B300" s="1"/>
    </row>
    <row r="301" spans="2:2">
      <c r="B301" s="1"/>
    </row>
    <row r="302" spans="2:2">
      <c r="B302" s="1"/>
    </row>
    <row r="303" spans="2:2">
      <c r="B303" s="1"/>
    </row>
    <row r="304" spans="2:2">
      <c r="B304" s="1"/>
    </row>
    <row r="305" spans="2:2">
      <c r="B305" s="1"/>
    </row>
    <row r="306" spans="2:2">
      <c r="B306" s="1"/>
    </row>
    <row r="307" spans="2:2">
      <c r="B307" s="1"/>
    </row>
    <row r="308" spans="2:2">
      <c r="B308" s="1"/>
    </row>
    <row r="309" spans="2:2">
      <c r="B309" s="1"/>
    </row>
    <row r="310" spans="2:2">
      <c r="B310" s="1"/>
    </row>
    <row r="311" spans="2:2">
      <c r="B311" s="1"/>
    </row>
    <row r="312" spans="2:2">
      <c r="B312" s="1"/>
    </row>
    <row r="313" spans="2:2">
      <c r="B313" s="1"/>
    </row>
    <row r="314" spans="2:2">
      <c r="B314" s="1"/>
    </row>
    <row r="315" spans="2:2">
      <c r="B315" s="1"/>
    </row>
    <row r="316" spans="2:2">
      <c r="B316" s="1"/>
    </row>
    <row r="317" spans="2:2">
      <c r="B317" s="1"/>
    </row>
    <row r="318" spans="2:2">
      <c r="B318" s="1"/>
    </row>
    <row r="319" spans="2:2">
      <c r="B319" s="1"/>
    </row>
    <row r="320" spans="2:2">
      <c r="B320" s="1"/>
    </row>
    <row r="321" spans="2:2">
      <c r="B321" s="1"/>
    </row>
    <row r="322" spans="2:2">
      <c r="B322" s="1"/>
    </row>
    <row r="323" spans="2:2">
      <c r="B323" s="1"/>
    </row>
    <row r="324" spans="2:2">
      <c r="B324" s="1"/>
    </row>
    <row r="325" spans="2:2">
      <c r="B325" s="1"/>
    </row>
    <row r="326" spans="2:2">
      <c r="B326" s="1"/>
    </row>
    <row r="327" spans="2:2">
      <c r="B327" s="1"/>
    </row>
    <row r="328" spans="2:2">
      <c r="B328" s="1"/>
    </row>
    <row r="329" spans="2:2">
      <c r="B329" s="1"/>
    </row>
    <row r="330" spans="2:2">
      <c r="B330" s="1"/>
    </row>
    <row r="331" spans="2:2">
      <c r="B331" s="1"/>
    </row>
    <row r="332" spans="2:2">
      <c r="B332" s="1"/>
    </row>
    <row r="333" spans="2:2">
      <c r="B333" s="1"/>
    </row>
    <row r="334" spans="2:2">
      <c r="B334" s="1"/>
    </row>
    <row r="335" spans="2:2">
      <c r="B335" s="1"/>
    </row>
    <row r="336" spans="2:2">
      <c r="B336" s="1"/>
    </row>
    <row r="337" spans="2:2">
      <c r="B337" s="1"/>
    </row>
    <row r="338" spans="2:2">
      <c r="B338" s="1"/>
    </row>
    <row r="339" spans="2:2">
      <c r="B339" s="1"/>
    </row>
    <row r="340" spans="2:2">
      <c r="B340" s="1"/>
    </row>
    <row r="341" spans="2:2">
      <c r="B341" s="1"/>
    </row>
    <row r="342" spans="2:2">
      <c r="B342" s="1"/>
    </row>
    <row r="343" spans="2:2">
      <c r="B343" s="1"/>
    </row>
    <row r="344" spans="2:2">
      <c r="B344" s="1"/>
    </row>
    <row r="345" spans="2:2">
      <c r="B345" s="1"/>
    </row>
    <row r="346" spans="2:2">
      <c r="B346" s="1"/>
    </row>
    <row r="347" spans="2:2">
      <c r="B347" s="1"/>
    </row>
    <row r="348" spans="2:2">
      <c r="B348" s="1"/>
    </row>
    <row r="349" spans="2:2">
      <c r="B349" s="1"/>
    </row>
    <row r="350" spans="2:2">
      <c r="B350" s="1"/>
    </row>
    <row r="351" spans="2:2">
      <c r="B351" s="1"/>
    </row>
    <row r="352" spans="2:2">
      <c r="B352" s="1"/>
    </row>
    <row r="353" spans="2:2">
      <c r="B353" s="1"/>
    </row>
    <row r="354" spans="2:2">
      <c r="B354" s="1"/>
    </row>
    <row r="355" spans="2:2">
      <c r="B355" s="1"/>
    </row>
    <row r="356" spans="2:2">
      <c r="B356" s="1"/>
    </row>
    <row r="357" spans="2:2">
      <c r="B357" s="1"/>
    </row>
    <row r="358" spans="2:2">
      <c r="B358" s="1"/>
    </row>
    <row r="359" spans="2:2">
      <c r="B359" s="1"/>
    </row>
    <row r="360" spans="2:2">
      <c r="B360" s="1"/>
    </row>
    <row r="361" spans="2:2">
      <c r="B361" s="1"/>
    </row>
    <row r="362" spans="2:2">
      <c r="B362" s="1"/>
    </row>
    <row r="363" spans="2:2">
      <c r="B363" s="1"/>
    </row>
    <row r="364" spans="2:2">
      <c r="B364" s="1"/>
    </row>
    <row r="365" spans="2:2">
      <c r="B365" s="1"/>
    </row>
    <row r="366" spans="2:2">
      <c r="B366" s="1"/>
    </row>
    <row r="367" spans="2:2">
      <c r="B367" s="1"/>
    </row>
    <row r="368" spans="2:2">
      <c r="B368" s="1"/>
    </row>
    <row r="369" spans="2:2">
      <c r="B369" s="1"/>
    </row>
    <row r="370" spans="2:2">
      <c r="B370" s="1"/>
    </row>
    <row r="371" spans="2:2">
      <c r="B371" s="1"/>
    </row>
    <row r="372" spans="2:2">
      <c r="B372" s="1"/>
    </row>
    <row r="373" spans="2:2">
      <c r="B373" s="1"/>
    </row>
    <row r="374" spans="2:2">
      <c r="B374" s="1"/>
    </row>
    <row r="375" spans="2:2">
      <c r="B375" s="1"/>
    </row>
    <row r="376" spans="2:2">
      <c r="B376" s="1"/>
    </row>
    <row r="377" spans="2:2">
      <c r="B377" s="1"/>
    </row>
    <row r="378" spans="2:2">
      <c r="B378" s="1"/>
    </row>
    <row r="379" spans="2:2">
      <c r="B379" s="1"/>
    </row>
    <row r="380" spans="2:2">
      <c r="B380" s="1"/>
    </row>
    <row r="381" spans="2:2">
      <c r="B381" s="1"/>
    </row>
    <row r="382" spans="2:2">
      <c r="B382" s="1"/>
    </row>
    <row r="383" spans="2:2">
      <c r="B383" s="1"/>
    </row>
    <row r="384" spans="2:2">
      <c r="B384" s="1"/>
    </row>
    <row r="385" spans="2:2">
      <c r="B385" s="1"/>
    </row>
    <row r="386" spans="2:2">
      <c r="B386" s="1"/>
    </row>
    <row r="387" spans="2:2">
      <c r="B387" s="1"/>
    </row>
    <row r="388" spans="2:2">
      <c r="B388" s="1"/>
    </row>
    <row r="389" spans="2:2">
      <c r="B389" s="1"/>
    </row>
    <row r="390" spans="2:2">
      <c r="B390" s="1"/>
    </row>
    <row r="391" spans="2:2">
      <c r="B391" s="1"/>
    </row>
    <row r="392" spans="2:2">
      <c r="B392" s="1"/>
    </row>
    <row r="393" spans="2:2">
      <c r="B393" s="1"/>
    </row>
    <row r="394" spans="2:2">
      <c r="B394" s="1"/>
    </row>
    <row r="395" spans="2:2">
      <c r="B395" s="1"/>
    </row>
    <row r="396" spans="2:2">
      <c r="B396" s="1"/>
    </row>
    <row r="397" spans="2:2">
      <c r="B397" s="1"/>
    </row>
    <row r="398" spans="2:2">
      <c r="B398" s="1"/>
    </row>
    <row r="399" spans="2:2">
      <c r="B399" s="1"/>
    </row>
    <row r="400" spans="2:2">
      <c r="B400" s="1"/>
    </row>
    <row r="401" spans="2:2">
      <c r="B401" s="1"/>
    </row>
    <row r="402" spans="2:2">
      <c r="B402" s="1"/>
    </row>
    <row r="403" spans="2:2">
      <c r="B403" s="1"/>
    </row>
    <row r="404" spans="2:2">
      <c r="B404" s="1"/>
    </row>
    <row r="405" spans="2:2">
      <c r="B405" s="1"/>
    </row>
    <row r="406" spans="2:2">
      <c r="B406" s="1"/>
    </row>
    <row r="407" spans="2:2">
      <c r="B407" s="1"/>
    </row>
    <row r="408" spans="2:2">
      <c r="B408" s="1"/>
    </row>
    <row r="409" spans="2:2">
      <c r="B409" s="1"/>
    </row>
    <row r="410" spans="2:2">
      <c r="B410" s="1"/>
    </row>
    <row r="411" spans="2:2">
      <c r="B411" s="1"/>
    </row>
    <row r="412" spans="2:2">
      <c r="B412" s="1"/>
    </row>
    <row r="413" spans="2:2">
      <c r="B413" s="1"/>
    </row>
    <row r="414" spans="2:2">
      <c r="B414" s="1"/>
    </row>
    <row r="415" spans="2:2">
      <c r="B415" s="1"/>
    </row>
    <row r="416" spans="2:2">
      <c r="B416" s="1"/>
    </row>
    <row r="417" spans="2:2">
      <c r="B417" s="1"/>
    </row>
    <row r="418" spans="2:2">
      <c r="B418" s="1"/>
    </row>
    <row r="419" spans="2:2">
      <c r="B419" s="1"/>
    </row>
    <row r="420" spans="2:2">
      <c r="B420" s="1"/>
    </row>
    <row r="421" spans="2:2">
      <c r="B421" s="1"/>
    </row>
    <row r="422" spans="2:2">
      <c r="B422" s="1"/>
    </row>
    <row r="423" spans="2:2">
      <c r="B423" s="1"/>
    </row>
    <row r="424" spans="2:2">
      <c r="B424" s="1"/>
    </row>
    <row r="425" spans="2:2">
      <c r="B425" s="1"/>
    </row>
    <row r="426" spans="2:2">
      <c r="B426" s="1"/>
    </row>
    <row r="427" spans="2:2">
      <c r="B427" s="1"/>
    </row>
    <row r="428" spans="2:2">
      <c r="B428" s="1"/>
    </row>
    <row r="429" spans="2:2">
      <c r="B429" s="1"/>
    </row>
    <row r="430" spans="2:2">
      <c r="B430" s="1"/>
    </row>
    <row r="431" spans="2:2">
      <c r="B431" s="1"/>
    </row>
    <row r="432" spans="2:2">
      <c r="B432" s="1"/>
    </row>
    <row r="433" spans="2:2">
      <c r="B433" s="1"/>
    </row>
    <row r="434" spans="2:2">
      <c r="B434" s="1"/>
    </row>
    <row r="435" spans="2:2">
      <c r="B435" s="1"/>
    </row>
    <row r="436" spans="2:2">
      <c r="B436" s="1"/>
    </row>
    <row r="437" spans="2:2">
      <c r="B437" s="1"/>
    </row>
    <row r="438" spans="2:2">
      <c r="B438" s="1"/>
    </row>
    <row r="439" spans="2:2">
      <c r="B439" s="1"/>
    </row>
    <row r="440" spans="2:2">
      <c r="B440" s="1"/>
    </row>
    <row r="441" spans="2:2">
      <c r="B441" s="1"/>
    </row>
    <row r="442" spans="2:2">
      <c r="B442" s="1"/>
    </row>
    <row r="443" spans="2:2">
      <c r="B443" s="1"/>
    </row>
    <row r="444" spans="2:2">
      <c r="B444" s="1"/>
    </row>
    <row r="445" spans="2:2">
      <c r="B445" s="1"/>
    </row>
    <row r="446" spans="2:2">
      <c r="B446" s="1"/>
    </row>
    <row r="447" spans="2:2">
      <c r="B447" s="1"/>
    </row>
    <row r="448" spans="2:2">
      <c r="B448" s="1"/>
    </row>
    <row r="449" spans="2:2">
      <c r="B449" s="1"/>
    </row>
    <row r="450" spans="2:2">
      <c r="B450" s="1"/>
    </row>
    <row r="451" spans="2:2">
      <c r="B451" s="1"/>
    </row>
    <row r="452" spans="2:2">
      <c r="B452" s="1"/>
    </row>
    <row r="453" spans="2:2">
      <c r="B453" s="1"/>
    </row>
    <row r="454" spans="2:2">
      <c r="B454" s="1"/>
    </row>
    <row r="455" spans="2:2">
      <c r="B455" s="1"/>
    </row>
    <row r="456" spans="2:2">
      <c r="B456" s="1"/>
    </row>
    <row r="457" spans="2:2">
      <c r="B457" s="1"/>
    </row>
    <row r="458" spans="2:2">
      <c r="B458" s="1"/>
    </row>
    <row r="459" spans="2:2">
      <c r="B459" s="1"/>
    </row>
    <row r="460" spans="2:2">
      <c r="B460" s="1"/>
    </row>
    <row r="461" spans="2:2">
      <c r="B461" s="1"/>
    </row>
    <row r="462" spans="2:2">
      <c r="B462" s="1"/>
    </row>
    <row r="463" spans="2:2">
      <c r="B463" s="1"/>
    </row>
    <row r="464" spans="2:2">
      <c r="B464" s="1"/>
    </row>
    <row r="465" spans="2:2">
      <c r="B465" s="1"/>
    </row>
    <row r="466" spans="2:2">
      <c r="B466" s="1"/>
    </row>
    <row r="467" spans="2:2">
      <c r="B467" s="1"/>
    </row>
    <row r="468" spans="2:2">
      <c r="B468" s="1"/>
    </row>
    <row r="469" spans="2:2">
      <c r="B469" s="1"/>
    </row>
    <row r="470" spans="2:2">
      <c r="B470" s="1"/>
    </row>
    <row r="471" spans="2:2">
      <c r="B471" s="1"/>
    </row>
    <row r="472" spans="2:2">
      <c r="B472" s="1"/>
    </row>
    <row r="473" spans="2:2">
      <c r="B473" s="1"/>
    </row>
    <row r="474" spans="2:2">
      <c r="B474" s="1"/>
    </row>
    <row r="475" spans="2:2">
      <c r="B475" s="1"/>
    </row>
    <row r="476" spans="2:2">
      <c r="B476" s="1"/>
    </row>
    <row r="477" spans="2:2">
      <c r="B477" s="1"/>
    </row>
    <row r="478" spans="2:2">
      <c r="B478" s="1"/>
    </row>
    <row r="479" spans="2:2">
      <c r="B479" s="1"/>
    </row>
    <row r="480" spans="2:2">
      <c r="B480" s="1"/>
    </row>
    <row r="481" spans="2:2">
      <c r="B481" s="1"/>
    </row>
    <row r="482" spans="2:2">
      <c r="B482" s="1"/>
    </row>
    <row r="483" spans="2:2">
      <c r="B483" s="1"/>
    </row>
    <row r="484" spans="2:2">
      <c r="B484" s="1"/>
    </row>
    <row r="485" spans="2:2">
      <c r="B485" s="1"/>
    </row>
    <row r="486" spans="2:2">
      <c r="B486" s="1"/>
    </row>
    <row r="487" spans="2:2">
      <c r="B487" s="1"/>
    </row>
    <row r="488" spans="2:2">
      <c r="B488" s="1"/>
    </row>
    <row r="489" spans="2:2">
      <c r="B489" s="1"/>
    </row>
    <row r="490" spans="2:2">
      <c r="B490" s="1"/>
    </row>
    <row r="491" spans="2:2">
      <c r="B491" s="1"/>
    </row>
    <row r="492" spans="2:2">
      <c r="B492" s="1"/>
    </row>
    <row r="493" spans="2:2">
      <c r="B493" s="1"/>
    </row>
    <row r="494" spans="2:2">
      <c r="B494" s="1"/>
    </row>
    <row r="495" spans="2:2">
      <c r="B495" s="1"/>
    </row>
    <row r="496" spans="2:2">
      <c r="B496" s="1"/>
    </row>
    <row r="497" spans="2:2">
      <c r="B497" s="1"/>
    </row>
    <row r="498" spans="2:2">
      <c r="B498" s="1"/>
    </row>
    <row r="499" spans="2:2">
      <c r="B499" s="1"/>
    </row>
    <row r="500" spans="2:2">
      <c r="B500" s="1"/>
    </row>
    <row r="501" spans="2:2">
      <c r="B501" s="1"/>
    </row>
    <row r="502" spans="2:2">
      <c r="B502" s="1"/>
    </row>
    <row r="503" spans="2:2">
      <c r="B503" s="1"/>
    </row>
    <row r="504" spans="2:2">
      <c r="B504" s="1"/>
    </row>
    <row r="505" spans="2:2">
      <c r="B505" s="1"/>
    </row>
    <row r="506" spans="2:2">
      <c r="B506" s="1"/>
    </row>
    <row r="507" spans="2:2">
      <c r="B507" s="1"/>
    </row>
    <row r="508" spans="2:2">
      <c r="B508" s="1"/>
    </row>
    <row r="509" spans="2:2">
      <c r="B509" s="1"/>
    </row>
    <row r="510" spans="2:2">
      <c r="B510" s="1"/>
    </row>
    <row r="511" spans="2:2">
      <c r="B511" s="1"/>
    </row>
    <row r="512" spans="2:2">
      <c r="B512" s="1"/>
    </row>
    <row r="513" spans="2:2">
      <c r="B513" s="1"/>
    </row>
    <row r="514" spans="2:2">
      <c r="B514" s="1"/>
    </row>
    <row r="515" spans="2:2">
      <c r="B515" s="1"/>
    </row>
    <row r="516" spans="2:2">
      <c r="B516" s="1"/>
    </row>
    <row r="517" spans="2:2">
      <c r="B517" s="1"/>
    </row>
    <row r="518" spans="2:2">
      <c r="B518" s="1"/>
    </row>
    <row r="519" spans="2:2">
      <c r="B519" s="1"/>
    </row>
    <row r="520" spans="2:2">
      <c r="B520" s="1"/>
    </row>
    <row r="521" spans="2:2">
      <c r="B521" s="1"/>
    </row>
    <row r="522" spans="2:2">
      <c r="B522" s="1"/>
    </row>
    <row r="523" spans="2:2">
      <c r="B523" s="1"/>
    </row>
    <row r="524" spans="2:2">
      <c r="B524" s="1"/>
    </row>
    <row r="525" spans="2:2">
      <c r="B525" s="1"/>
    </row>
    <row r="526" spans="2:2">
      <c r="B526" s="1"/>
    </row>
    <row r="527" spans="2:2">
      <c r="B527" s="1"/>
    </row>
    <row r="528" spans="2:2">
      <c r="B528" s="1"/>
    </row>
    <row r="529" spans="2:2">
      <c r="B529" s="1"/>
    </row>
    <row r="530" spans="2:2">
      <c r="B530" s="1"/>
    </row>
    <row r="531" spans="2:2">
      <c r="B531" s="1"/>
    </row>
    <row r="532" spans="2:2">
      <c r="B532" s="1"/>
    </row>
    <row r="533" spans="2:2">
      <c r="B533" s="1"/>
    </row>
    <row r="534" spans="2:2">
      <c r="B534" s="1"/>
    </row>
    <row r="535" spans="2:2">
      <c r="B535" s="1"/>
    </row>
    <row r="536" spans="2:2">
      <c r="B536" s="1"/>
    </row>
    <row r="537" spans="2:2">
      <c r="B537" s="1"/>
    </row>
    <row r="538" spans="2:2">
      <c r="B538" s="1"/>
    </row>
    <row r="539" spans="2:2">
      <c r="B539" s="1"/>
    </row>
    <row r="540" spans="2:2">
      <c r="B540" s="1"/>
    </row>
    <row r="541" spans="2:2">
      <c r="B541" s="1"/>
    </row>
    <row r="542" spans="2:2">
      <c r="B542" s="1"/>
    </row>
    <row r="543" spans="2:2">
      <c r="B543" s="1"/>
    </row>
    <row r="544" spans="2:2">
      <c r="B544" s="1"/>
    </row>
    <row r="545" spans="2:2">
      <c r="B545" s="1"/>
    </row>
    <row r="546" spans="2:2">
      <c r="B546" s="1"/>
    </row>
    <row r="547" spans="2:2">
      <c r="B547" s="1"/>
    </row>
    <row r="548" spans="2:2">
      <c r="B548" s="1"/>
    </row>
    <row r="549" spans="2:2">
      <c r="B549" s="1"/>
    </row>
    <row r="550" spans="2:2">
      <c r="B550" s="1"/>
    </row>
    <row r="551" spans="2:2">
      <c r="B551" s="1"/>
    </row>
    <row r="552" spans="2:2">
      <c r="B552" s="1"/>
    </row>
    <row r="553" spans="2:2">
      <c r="B553" s="1"/>
    </row>
    <row r="554" spans="2:2">
      <c r="B554" s="1"/>
    </row>
    <row r="555" spans="2:2">
      <c r="B555" s="1"/>
    </row>
    <row r="556" spans="2:2">
      <c r="B556" s="1"/>
    </row>
    <row r="557" spans="2:2">
      <c r="B557" s="1"/>
    </row>
    <row r="558" spans="2:2">
      <c r="B558" s="1"/>
    </row>
    <row r="559" spans="2:2">
      <c r="B559" s="1"/>
    </row>
    <row r="560" spans="2:2">
      <c r="B560" s="1"/>
    </row>
    <row r="561" spans="2:2">
      <c r="B561" s="1"/>
    </row>
    <row r="562" spans="2:2">
      <c r="B562" s="1"/>
    </row>
    <row r="563" spans="2:2">
      <c r="B563" s="1"/>
    </row>
    <row r="564" spans="2:2">
      <c r="B564" s="1"/>
    </row>
    <row r="565" spans="2:2">
      <c r="B565" s="1"/>
    </row>
    <row r="566" spans="2:2">
      <c r="B566" s="1"/>
    </row>
    <row r="567" spans="2:2">
      <c r="B567" s="1"/>
    </row>
    <row r="568" spans="2:2">
      <c r="B568" s="1"/>
    </row>
    <row r="569" spans="2:2">
      <c r="B569" s="1"/>
    </row>
    <row r="570" spans="2:2">
      <c r="B570" s="1"/>
    </row>
    <row r="571" spans="2:2">
      <c r="B571" s="1"/>
    </row>
    <row r="572" spans="2:2">
      <c r="B572" s="1"/>
    </row>
    <row r="573" spans="2:2">
      <c r="B573" s="1"/>
    </row>
    <row r="574" spans="2:2">
      <c r="B574" s="1"/>
    </row>
    <row r="575" spans="2:2">
      <c r="B575" s="1"/>
    </row>
    <row r="576" spans="2:2">
      <c r="B576" s="1"/>
    </row>
    <row r="577" spans="2:2">
      <c r="B577" s="1"/>
    </row>
    <row r="578" spans="2:2">
      <c r="B578" s="1"/>
    </row>
    <row r="579" spans="2:2">
      <c r="B579" s="1"/>
    </row>
    <row r="580" spans="2:2">
      <c r="B580" s="1"/>
    </row>
    <row r="581" spans="2:2">
      <c r="B581" s="1"/>
    </row>
    <row r="582" spans="2:2">
      <c r="B582" s="1"/>
    </row>
    <row r="583" spans="2:2">
      <c r="B583" s="1"/>
    </row>
    <row r="584" spans="2:2">
      <c r="B584" s="1"/>
    </row>
    <row r="585" spans="2:2">
      <c r="B585" s="1"/>
    </row>
    <row r="586" spans="2:2">
      <c r="B586" s="1"/>
    </row>
    <row r="587" spans="2:2">
      <c r="B587" s="1"/>
    </row>
    <row r="588" spans="2:2">
      <c r="B588" s="1"/>
    </row>
    <row r="589" spans="2:2">
      <c r="B589" s="1"/>
    </row>
    <row r="590" spans="2:2">
      <c r="B590" s="1"/>
    </row>
    <row r="591" spans="2:2">
      <c r="B591" s="1"/>
    </row>
    <row r="592" spans="2:2">
      <c r="B592" s="1"/>
    </row>
    <row r="593" spans="2:2">
      <c r="B593" s="1"/>
    </row>
    <row r="594" spans="2:2">
      <c r="B594" s="1"/>
    </row>
    <row r="595" spans="2:2">
      <c r="B595" s="1"/>
    </row>
    <row r="596" spans="2:2">
      <c r="B596" s="1"/>
    </row>
    <row r="597" spans="2:2">
      <c r="B597" s="1"/>
    </row>
    <row r="598" spans="2:2">
      <c r="B598" s="1"/>
    </row>
    <row r="599" spans="2:2">
      <c r="B599" s="1"/>
    </row>
    <row r="600" spans="2:2">
      <c r="B600" s="1"/>
    </row>
    <row r="601" spans="2:2">
      <c r="B601" s="1"/>
    </row>
    <row r="602" spans="2:2">
      <c r="B602" s="1"/>
    </row>
    <row r="603" spans="2:2">
      <c r="B603" s="1"/>
    </row>
    <row r="604" spans="2:2">
      <c r="B604" s="1"/>
    </row>
    <row r="605" spans="2:2">
      <c r="B605" s="1"/>
    </row>
    <row r="606" spans="2:2">
      <c r="B606" s="1"/>
    </row>
    <row r="607" spans="2:2">
      <c r="B607" s="1"/>
    </row>
    <row r="608" spans="2:2">
      <c r="B608" s="1"/>
    </row>
    <row r="609" spans="2:2">
      <c r="B609" s="1"/>
    </row>
    <row r="610" spans="2:2">
      <c r="B610" s="1"/>
    </row>
    <row r="611" spans="2:2">
      <c r="B611" s="1"/>
    </row>
    <row r="612" spans="2:2">
      <c r="B612" s="1"/>
    </row>
    <row r="613" spans="2:2">
      <c r="B613" s="1"/>
    </row>
    <row r="614" spans="2:2">
      <c r="B614" s="1"/>
    </row>
    <row r="615" spans="2:2">
      <c r="B615" s="1"/>
    </row>
    <row r="616" spans="2:2">
      <c r="B616" s="1"/>
    </row>
    <row r="617" spans="2:2">
      <c r="B617" s="1"/>
    </row>
    <row r="618" spans="2:2">
      <c r="B618" s="1"/>
    </row>
    <row r="619" spans="2:2">
      <c r="B619" s="1"/>
    </row>
    <row r="620" spans="2:2">
      <c r="B620" s="1"/>
    </row>
    <row r="621" spans="2:2">
      <c r="B621" s="1"/>
    </row>
    <row r="622" spans="2:2">
      <c r="B622" s="1"/>
    </row>
    <row r="623" spans="2:2">
      <c r="B623" s="1"/>
    </row>
    <row r="624" spans="2:2">
      <c r="B624" s="1"/>
    </row>
    <row r="625" spans="2:2">
      <c r="B625" s="1"/>
    </row>
    <row r="626" spans="2:2">
      <c r="B626" s="1"/>
    </row>
    <row r="627" spans="2:2">
      <c r="B627" s="1"/>
    </row>
    <row r="628" spans="2:2">
      <c r="B628" s="1"/>
    </row>
    <row r="629" spans="2:2">
      <c r="B629" s="1"/>
    </row>
    <row r="630" spans="2:2">
      <c r="B630" s="1"/>
    </row>
    <row r="631" spans="2:2">
      <c r="B631" s="1"/>
    </row>
    <row r="632" spans="2:2">
      <c r="B632" s="1"/>
    </row>
    <row r="633" spans="2:2">
      <c r="B633" s="1"/>
    </row>
    <row r="634" spans="2:2">
      <c r="B634" s="1"/>
    </row>
    <row r="635" spans="2:2">
      <c r="B635" s="1"/>
    </row>
    <row r="636" spans="2:2">
      <c r="B636" s="1"/>
    </row>
    <row r="637" spans="2:2">
      <c r="B637" s="1"/>
    </row>
    <row r="638" spans="2:2">
      <c r="B638" s="1"/>
    </row>
    <row r="639" spans="2:2">
      <c r="B639" s="1"/>
    </row>
    <row r="640" spans="2:2">
      <c r="B640" s="1"/>
    </row>
    <row r="641" spans="2:2">
      <c r="B641" s="1"/>
    </row>
    <row r="642" spans="2:2">
      <c r="B642" s="1"/>
    </row>
    <row r="643" spans="2:2">
      <c r="B643" s="1"/>
    </row>
    <row r="644" spans="2:2">
      <c r="B644" s="1"/>
    </row>
    <row r="645" spans="2:2">
      <c r="B645" s="1"/>
    </row>
    <row r="646" spans="2:2">
      <c r="B646" s="1"/>
    </row>
    <row r="647" spans="2:2">
      <c r="B647" s="1"/>
    </row>
    <row r="648" spans="2:2">
      <c r="B648" s="1"/>
    </row>
    <row r="649" spans="2:2">
      <c r="B649" s="1"/>
    </row>
    <row r="650" spans="2:2">
      <c r="B650" s="1"/>
    </row>
    <row r="651" spans="2:2">
      <c r="B651" s="1"/>
    </row>
    <row r="652" spans="2:2">
      <c r="B652" s="1"/>
    </row>
    <row r="653" spans="2:2">
      <c r="B653" s="1"/>
    </row>
    <row r="654" spans="2:2">
      <c r="B654" s="1"/>
    </row>
    <row r="655" spans="2:2">
      <c r="B655" s="1"/>
    </row>
    <row r="656" spans="2:2">
      <c r="B656" s="1"/>
    </row>
    <row r="657" spans="2:2">
      <c r="B657" s="1"/>
    </row>
    <row r="658" spans="2:2">
      <c r="B658" s="1"/>
    </row>
    <row r="659" spans="2:2">
      <c r="B659" s="1"/>
    </row>
    <row r="660" spans="2:2">
      <c r="B660" s="1"/>
    </row>
    <row r="661" spans="2:2">
      <c r="B661" s="1"/>
    </row>
    <row r="662" spans="2:2">
      <c r="B662" s="1"/>
    </row>
    <row r="663" spans="2:2">
      <c r="B663" s="1"/>
    </row>
    <row r="664" spans="2:2">
      <c r="B664" s="1"/>
    </row>
    <row r="665" spans="2:2">
      <c r="B665" s="1"/>
    </row>
    <row r="666" spans="2:2">
      <c r="B666" s="1"/>
    </row>
    <row r="667" spans="2:2">
      <c r="B667" s="1"/>
    </row>
    <row r="668" spans="2:2">
      <c r="B668" s="1"/>
    </row>
    <row r="669" spans="2:2">
      <c r="B669" s="1"/>
    </row>
    <row r="670" spans="2:2">
      <c r="B670" s="1"/>
    </row>
    <row r="671" spans="2:2">
      <c r="B671" s="1"/>
    </row>
    <row r="672" spans="2:2">
      <c r="B672" s="1"/>
    </row>
    <row r="673" spans="2:2">
      <c r="B673" s="1"/>
    </row>
    <row r="674" spans="2:2">
      <c r="B674" s="1"/>
    </row>
    <row r="675" spans="2:2">
      <c r="B675" s="1"/>
    </row>
    <row r="676" spans="2:2">
      <c r="B676" s="1"/>
    </row>
    <row r="677" spans="2:2">
      <c r="B677" s="1"/>
    </row>
    <row r="678" spans="2:2">
      <c r="B678" s="1"/>
    </row>
    <row r="679" spans="2:2">
      <c r="B679" s="1"/>
    </row>
    <row r="680" spans="2:2">
      <c r="B680" s="1"/>
    </row>
    <row r="681" spans="2:2">
      <c r="B681" s="1"/>
    </row>
    <row r="682" spans="2:2">
      <c r="B682" s="1"/>
    </row>
    <row r="683" spans="2:2">
      <c r="B683" s="1"/>
    </row>
    <row r="684" spans="2:2">
      <c r="B684" s="1"/>
    </row>
    <row r="685" spans="2:2">
      <c r="B685" s="1"/>
    </row>
    <row r="686" spans="2:2">
      <c r="B686" s="1"/>
    </row>
    <row r="687" spans="2:2">
      <c r="B687" s="1"/>
    </row>
    <row r="688" spans="2:2">
      <c r="B688" s="1"/>
    </row>
    <row r="689" spans="2:2">
      <c r="B689" s="1"/>
    </row>
    <row r="690" spans="2:2">
      <c r="B690" s="1"/>
    </row>
    <row r="691" spans="2:2">
      <c r="B691" s="1"/>
    </row>
    <row r="692" spans="2:2">
      <c r="B692" s="1"/>
    </row>
    <row r="693" spans="2:2">
      <c r="B693" s="1"/>
    </row>
    <row r="694" spans="2:2">
      <c r="B694" s="1"/>
    </row>
    <row r="695" spans="2:2">
      <c r="B695" s="1"/>
    </row>
    <row r="696" spans="2:2">
      <c r="B696" s="1"/>
    </row>
    <row r="697" spans="2:2">
      <c r="B697" s="1"/>
    </row>
    <row r="698" spans="2:2">
      <c r="B698" s="1"/>
    </row>
    <row r="699" spans="2:2">
      <c r="B699" s="1"/>
    </row>
    <row r="700" spans="2:2">
      <c r="B700" s="1"/>
    </row>
    <row r="701" spans="2:2">
      <c r="B701" s="1"/>
    </row>
    <row r="702" spans="2:2">
      <c r="B702" s="1"/>
    </row>
    <row r="703" spans="2:2">
      <c r="B703" s="1"/>
    </row>
    <row r="704" spans="2:2">
      <c r="B704" s="1"/>
    </row>
    <row r="705" spans="2:2">
      <c r="B705" s="1"/>
    </row>
    <row r="706" spans="2:2">
      <c r="B706" s="1"/>
    </row>
    <row r="707" spans="2:2">
      <c r="B707" s="1"/>
    </row>
    <row r="708" spans="2:2">
      <c r="B708" s="1"/>
    </row>
    <row r="709" spans="2:2">
      <c r="B709" s="1"/>
    </row>
    <row r="710" spans="2:2">
      <c r="B710" s="1"/>
    </row>
    <row r="711" spans="2:2">
      <c r="B711" s="1"/>
    </row>
    <row r="712" spans="2:2">
      <c r="B712" s="1"/>
    </row>
    <row r="713" spans="2:2">
      <c r="B713" s="1"/>
    </row>
    <row r="714" spans="2:2">
      <c r="B714" s="1"/>
    </row>
    <row r="715" spans="2:2">
      <c r="B715" s="1"/>
    </row>
    <row r="716" spans="2:2">
      <c r="B716" s="1"/>
    </row>
    <row r="717" spans="2:2">
      <c r="B717" s="1"/>
    </row>
    <row r="718" spans="2:2">
      <c r="B718" s="1"/>
    </row>
    <row r="719" spans="2:2">
      <c r="B719" s="1"/>
    </row>
    <row r="720" spans="2:2">
      <c r="B720" s="1"/>
    </row>
    <row r="721" spans="2:2">
      <c r="B721" s="1"/>
    </row>
    <row r="722" spans="2:2">
      <c r="B722" s="1"/>
    </row>
    <row r="723" spans="2:2">
      <c r="B723" s="1"/>
    </row>
    <row r="724" spans="2:2">
      <c r="B724" s="1"/>
    </row>
    <row r="725" spans="2:2">
      <c r="B725" s="1"/>
    </row>
    <row r="726" spans="2:2">
      <c r="B726" s="1"/>
    </row>
    <row r="727" spans="2:2">
      <c r="B727" s="1"/>
    </row>
    <row r="728" spans="2:2">
      <c r="B728" s="1"/>
    </row>
    <row r="729" spans="2:2">
      <c r="B729" s="1"/>
    </row>
    <row r="730" spans="2:2">
      <c r="B730" s="1"/>
    </row>
    <row r="731" spans="2:2">
      <c r="B731" s="1"/>
    </row>
    <row r="732" spans="2:2">
      <c r="B732" s="1"/>
    </row>
    <row r="733" spans="2:2">
      <c r="B733" s="1"/>
    </row>
    <row r="734" spans="2:2">
      <c r="B734" s="1"/>
    </row>
    <row r="735" spans="2:2">
      <c r="B735" s="1"/>
    </row>
    <row r="736" spans="2:2">
      <c r="B736" s="1"/>
    </row>
    <row r="737" spans="2:2">
      <c r="B737" s="1"/>
    </row>
    <row r="738" spans="2:2">
      <c r="B738" s="1"/>
    </row>
    <row r="739" spans="2:2">
      <c r="B739" s="1"/>
    </row>
    <row r="740" spans="2:2">
      <c r="B740" s="1"/>
    </row>
    <row r="741" spans="2:2">
      <c r="B741" s="1"/>
    </row>
    <row r="742" spans="2:2">
      <c r="B742" s="1"/>
    </row>
    <row r="743" spans="2:2">
      <c r="B743" s="1"/>
    </row>
    <row r="744" spans="2:2">
      <c r="B744" s="1"/>
    </row>
    <row r="745" spans="2:2">
      <c r="B745" s="1"/>
    </row>
    <row r="746" spans="2:2">
      <c r="B746" s="1"/>
    </row>
    <row r="747" spans="2:2">
      <c r="B747" s="1"/>
    </row>
    <row r="748" spans="2:2">
      <c r="B748" s="1"/>
    </row>
    <row r="749" spans="2:2">
      <c r="B749" s="1"/>
    </row>
    <row r="750" spans="2:2">
      <c r="B750" s="1"/>
    </row>
    <row r="751" spans="2:2">
      <c r="B751" s="1"/>
    </row>
    <row r="752" spans="2:2">
      <c r="B752" s="1"/>
    </row>
    <row r="753" spans="2:2">
      <c r="B753" s="1"/>
    </row>
    <row r="754" spans="2:2">
      <c r="B754" s="1"/>
    </row>
    <row r="755" spans="2:2">
      <c r="B755" s="1"/>
    </row>
    <row r="756" spans="2:2">
      <c r="B756" s="1"/>
    </row>
    <row r="757" spans="2:2">
      <c r="B757" s="1"/>
    </row>
    <row r="758" spans="2:2">
      <c r="B758" s="1"/>
    </row>
    <row r="759" spans="2:2">
      <c r="B759" s="1"/>
    </row>
    <row r="760" spans="2:2">
      <c r="B760" s="1"/>
    </row>
    <row r="761" spans="2:2">
      <c r="B761" s="1"/>
    </row>
    <row r="762" spans="2:2">
      <c r="B762" s="1"/>
    </row>
    <row r="763" spans="2:2">
      <c r="B763" s="1"/>
    </row>
    <row r="764" spans="2:2">
      <c r="B764" s="1"/>
    </row>
    <row r="765" spans="2:2">
      <c r="B765" s="1"/>
    </row>
    <row r="766" spans="2:2">
      <c r="B766" s="1"/>
    </row>
    <row r="767" spans="2:2">
      <c r="B767" s="1"/>
    </row>
    <row r="768" spans="2:2">
      <c r="B768" s="1"/>
    </row>
    <row r="769" spans="2:2">
      <c r="B769" s="1"/>
    </row>
    <row r="770" spans="2:2">
      <c r="B770" s="1"/>
    </row>
    <row r="771" spans="2:2">
      <c r="B771" s="1"/>
    </row>
    <row r="772" spans="2:2">
      <c r="B772" s="1"/>
    </row>
    <row r="773" spans="2:2">
      <c r="B773" s="1"/>
    </row>
    <row r="774" spans="2:2">
      <c r="B774" s="1"/>
    </row>
    <row r="775" spans="2:2">
      <c r="B775" s="1"/>
    </row>
    <row r="776" spans="2:2">
      <c r="B776" s="1"/>
    </row>
    <row r="777" spans="2:2">
      <c r="B777" s="1"/>
    </row>
    <row r="778" spans="2:2">
      <c r="B778" s="1"/>
    </row>
    <row r="779" spans="2:2">
      <c r="B779" s="1"/>
    </row>
    <row r="780" spans="2:2">
      <c r="B780" s="1"/>
    </row>
    <row r="781" spans="2:2">
      <c r="B781" s="1"/>
    </row>
    <row r="782" spans="2:2">
      <c r="B782" s="1"/>
    </row>
    <row r="783" spans="2:2">
      <c r="B783" s="1"/>
    </row>
    <row r="784" spans="2:2">
      <c r="B784" s="1"/>
    </row>
    <row r="785" spans="2:2">
      <c r="B785" s="1"/>
    </row>
    <row r="786" spans="2:2">
      <c r="B786" s="1"/>
    </row>
    <row r="787" spans="2:2">
      <c r="B787" s="1"/>
    </row>
    <row r="788" spans="2:2">
      <c r="B788" s="1"/>
    </row>
    <row r="789" spans="2:2">
      <c r="B789" s="1"/>
    </row>
    <row r="790" spans="2:2">
      <c r="B790" s="1"/>
    </row>
    <row r="791" spans="2:2">
      <c r="B791" s="1"/>
    </row>
    <row r="792" spans="2:2">
      <c r="B792" s="1"/>
    </row>
    <row r="793" spans="2:2">
      <c r="B793" s="1"/>
    </row>
    <row r="794" spans="2:2">
      <c r="B794" s="1"/>
    </row>
    <row r="795" spans="2:2">
      <c r="B795" s="1"/>
    </row>
    <row r="796" spans="2:2">
      <c r="B796" s="1"/>
    </row>
    <row r="797" spans="2:2">
      <c r="B797" s="1"/>
    </row>
    <row r="798" spans="2:2">
      <c r="B798" s="1"/>
    </row>
    <row r="799" spans="2:2">
      <c r="B799" s="1"/>
    </row>
    <row r="800" spans="2:2">
      <c r="B800" s="1"/>
    </row>
    <row r="801" spans="2:2">
      <c r="B801" s="1"/>
    </row>
    <row r="802" spans="2:2">
      <c r="B802" s="1"/>
    </row>
    <row r="803" spans="2:2">
      <c r="B803" s="1"/>
    </row>
    <row r="804" spans="2:2">
      <c r="B804" s="1"/>
    </row>
    <row r="805" spans="2:2">
      <c r="B805" s="1"/>
    </row>
    <row r="806" spans="2:2">
      <c r="B806" s="1"/>
    </row>
    <row r="807" spans="2:2">
      <c r="B807" s="1"/>
    </row>
    <row r="808" spans="2:2">
      <c r="B808" s="1"/>
    </row>
    <row r="809" spans="2:2">
      <c r="B809" s="1"/>
    </row>
    <row r="810" spans="2:2">
      <c r="B810" s="1"/>
    </row>
    <row r="811" spans="2:2">
      <c r="B811" s="1"/>
    </row>
    <row r="812" spans="2:2">
      <c r="B812" s="1"/>
    </row>
    <row r="813" spans="2:2">
      <c r="B813" s="1"/>
    </row>
    <row r="814" spans="2:2">
      <c r="B814" s="1"/>
    </row>
    <row r="815" spans="2:2">
      <c r="B815" s="1"/>
    </row>
    <row r="816" spans="2:2">
      <c r="B816" s="1"/>
    </row>
    <row r="817" spans="2:2">
      <c r="B817" s="1"/>
    </row>
    <row r="818" spans="2:2">
      <c r="B818" s="1"/>
    </row>
    <row r="819" spans="2:2">
      <c r="B819" s="1"/>
    </row>
    <row r="820" spans="2:2">
      <c r="B820" s="1"/>
    </row>
    <row r="821" spans="2:2">
      <c r="B821" s="1"/>
    </row>
    <row r="822" spans="2:2">
      <c r="B822" s="1"/>
    </row>
    <row r="823" spans="2:2">
      <c r="B823" s="1"/>
    </row>
    <row r="824" spans="2:2">
      <c r="B824" s="1"/>
    </row>
    <row r="825" spans="2:2">
      <c r="B825" s="1"/>
    </row>
    <row r="826" spans="2:2">
      <c r="B826" s="1"/>
    </row>
    <row r="827" spans="2:2">
      <c r="B827" s="1"/>
    </row>
    <row r="828" spans="2:2">
      <c r="B828" s="1"/>
    </row>
    <row r="829" spans="2:2">
      <c r="B829" s="1"/>
    </row>
    <row r="830" spans="2:2">
      <c r="B830" s="1"/>
    </row>
    <row r="831" spans="2:2">
      <c r="B831" s="1"/>
    </row>
    <row r="832" spans="2:2">
      <c r="B832" s="1"/>
    </row>
    <row r="833" spans="2:2">
      <c r="B833" s="1"/>
    </row>
    <row r="834" spans="2:2">
      <c r="B834" s="1"/>
    </row>
    <row r="835" spans="2:2">
      <c r="B835" s="1"/>
    </row>
    <row r="836" spans="2:2">
      <c r="B836" s="1"/>
    </row>
    <row r="837" spans="2:2">
      <c r="B837" s="1"/>
    </row>
    <row r="838" spans="2:2">
      <c r="B838" s="1"/>
    </row>
    <row r="839" spans="2:2">
      <c r="B839" s="1"/>
    </row>
    <row r="840" spans="2:2">
      <c r="B840" s="1"/>
    </row>
    <row r="841" spans="2:2">
      <c r="B841" s="1"/>
    </row>
    <row r="842" spans="2:2">
      <c r="B842" s="1"/>
    </row>
    <row r="843" spans="2:2">
      <c r="B843" s="1"/>
    </row>
    <row r="844" spans="2:2">
      <c r="B844" s="1"/>
    </row>
    <row r="845" spans="2:2">
      <c r="B845" s="1"/>
    </row>
    <row r="846" spans="2:2">
      <c r="B846" s="1"/>
    </row>
    <row r="847" spans="2:2">
      <c r="B847" s="1"/>
    </row>
    <row r="848" spans="2:2">
      <c r="B848" s="1"/>
    </row>
    <row r="849" spans="2:2">
      <c r="B849" s="1"/>
    </row>
    <row r="850" spans="2:2">
      <c r="B850" s="1"/>
    </row>
    <row r="851" spans="2:2">
      <c r="B851" s="1"/>
    </row>
    <row r="852" spans="2:2">
      <c r="B852" s="1"/>
    </row>
    <row r="853" spans="2:2">
      <c r="B853" s="1"/>
    </row>
    <row r="854" spans="2:2">
      <c r="B854" s="1"/>
    </row>
    <row r="855" spans="2:2">
      <c r="B855" s="1"/>
    </row>
    <row r="856" spans="2:2">
      <c r="B856" s="1"/>
    </row>
    <row r="857" spans="2:2">
      <c r="B857" s="1"/>
    </row>
    <row r="858" spans="2:2">
      <c r="B858" s="1"/>
    </row>
    <row r="859" spans="2:2">
      <c r="B859" s="1"/>
    </row>
    <row r="860" spans="2:2">
      <c r="B860" s="1"/>
    </row>
    <row r="861" spans="2:2">
      <c r="B861" s="1"/>
    </row>
    <row r="862" spans="2:2">
      <c r="B862" s="1"/>
    </row>
    <row r="863" spans="2:2">
      <c r="B863" s="1"/>
    </row>
    <row r="864" spans="2:2">
      <c r="B864" s="1"/>
    </row>
    <row r="865" spans="2:2">
      <c r="B865" s="1"/>
    </row>
    <row r="866" spans="2:2">
      <c r="B866" s="1"/>
    </row>
    <row r="867" spans="2:2">
      <c r="B867" s="1"/>
    </row>
    <row r="868" spans="2:2">
      <c r="B868" s="1"/>
    </row>
    <row r="869" spans="2:2">
      <c r="B869" s="1"/>
    </row>
    <row r="870" spans="2:2">
      <c r="B870" s="1"/>
    </row>
    <row r="871" spans="2:2">
      <c r="B871" s="1"/>
    </row>
    <row r="872" spans="2:2">
      <c r="B872" s="1"/>
    </row>
    <row r="873" spans="2:2">
      <c r="B873" s="1"/>
    </row>
    <row r="874" spans="2:2">
      <c r="B874" s="1"/>
    </row>
    <row r="875" spans="2:2">
      <c r="B875" s="1"/>
    </row>
    <row r="876" spans="2:2">
      <c r="B876" s="1"/>
    </row>
    <row r="877" spans="2:2">
      <c r="B877" s="1"/>
    </row>
    <row r="878" spans="2:2">
      <c r="B878" s="1"/>
    </row>
    <row r="879" spans="2:2">
      <c r="B879" s="1"/>
    </row>
    <row r="880" spans="2:2">
      <c r="B880" s="1"/>
    </row>
    <row r="881" spans="2:2">
      <c r="B881" s="1"/>
    </row>
    <row r="882" spans="2:2">
      <c r="B882" s="1"/>
    </row>
    <row r="883" spans="2:2">
      <c r="B883" s="1"/>
    </row>
    <row r="884" spans="2:2">
      <c r="B884" s="1"/>
    </row>
    <row r="885" spans="2:2">
      <c r="B885" s="1"/>
    </row>
    <row r="886" spans="2:2">
      <c r="B886" s="1"/>
    </row>
    <row r="887" spans="2:2">
      <c r="B887" s="1"/>
    </row>
    <row r="888" spans="2:2">
      <c r="B888" s="1"/>
    </row>
    <row r="889" spans="2:2">
      <c r="B889" s="1"/>
    </row>
    <row r="890" spans="2:2">
      <c r="B890" s="1"/>
    </row>
    <row r="891" spans="2:2">
      <c r="B891" s="1"/>
    </row>
    <row r="892" spans="2:2">
      <c r="B892" s="1"/>
    </row>
    <row r="893" spans="2:2">
      <c r="B893" s="1"/>
    </row>
    <row r="894" spans="2:2">
      <c r="B894" s="1"/>
    </row>
    <row r="895" spans="2:2">
      <c r="B895" s="1"/>
    </row>
    <row r="896" spans="2:2">
      <c r="B896" s="1"/>
    </row>
    <row r="897" spans="2:2">
      <c r="B897" s="1"/>
    </row>
    <row r="898" spans="2:2">
      <c r="B898" s="1"/>
    </row>
    <row r="899" spans="2:2">
      <c r="B899" s="1"/>
    </row>
    <row r="900" spans="2:2">
      <c r="B900" s="1"/>
    </row>
    <row r="901" spans="2:2">
      <c r="B901" s="1"/>
    </row>
    <row r="902" spans="2:2">
      <c r="B902" s="1"/>
    </row>
    <row r="903" spans="2:2">
      <c r="B903" s="1"/>
    </row>
    <row r="904" spans="2:2">
      <c r="B904" s="1"/>
    </row>
    <row r="905" spans="2:2">
      <c r="B905" s="1"/>
    </row>
    <row r="906" spans="2:2">
      <c r="B906" s="1"/>
    </row>
    <row r="907" spans="2:2">
      <c r="B907" s="1"/>
    </row>
    <row r="908" spans="2:2">
      <c r="B908" s="1"/>
    </row>
    <row r="909" spans="2:2">
      <c r="B909" s="1"/>
    </row>
    <row r="910" spans="2:2">
      <c r="B910" s="1"/>
    </row>
    <row r="911" spans="2:2">
      <c r="B911" s="1"/>
    </row>
    <row r="912" spans="2:2">
      <c r="B912" s="1"/>
    </row>
    <row r="913" spans="2:2">
      <c r="B913" s="1"/>
    </row>
    <row r="914" spans="2:2">
      <c r="B914" s="1"/>
    </row>
    <row r="915" spans="2:2">
      <c r="B915" s="1"/>
    </row>
    <row r="916" spans="2:2">
      <c r="B916" s="1"/>
    </row>
    <row r="917" spans="2:2">
      <c r="B917" s="1"/>
    </row>
    <row r="918" spans="2:2">
      <c r="B918" s="1"/>
    </row>
    <row r="919" spans="2:2">
      <c r="B919" s="1"/>
    </row>
    <row r="920" spans="2:2">
      <c r="B920" s="1"/>
    </row>
    <row r="921" spans="2:2">
      <c r="B921" s="1"/>
    </row>
    <row r="922" spans="2:2">
      <c r="B922" s="1"/>
    </row>
    <row r="923" spans="2:2">
      <c r="B923" s="1"/>
    </row>
    <row r="924" spans="2:2">
      <c r="B924" s="1"/>
    </row>
    <row r="925" spans="2:2">
      <c r="B925" s="1"/>
    </row>
    <row r="926" spans="2:2">
      <c r="B926" s="1"/>
    </row>
    <row r="927" spans="2:2">
      <c r="B927" s="1"/>
    </row>
    <row r="928" spans="2:2">
      <c r="B928" s="1"/>
    </row>
    <row r="929" spans="2:2">
      <c r="B929" s="1"/>
    </row>
    <row r="930" spans="2:2">
      <c r="B930" s="1"/>
    </row>
    <row r="931" spans="2:2">
      <c r="B931" s="1"/>
    </row>
    <row r="932" spans="2:2">
      <c r="B932" s="1"/>
    </row>
    <row r="933" spans="2:2">
      <c r="B933" s="1"/>
    </row>
    <row r="934" spans="2:2">
      <c r="B934" s="1"/>
    </row>
    <row r="935" spans="2:2">
      <c r="B935" s="1"/>
    </row>
    <row r="936" spans="2:2">
      <c r="B936" s="1"/>
    </row>
    <row r="937" spans="2:2">
      <c r="B937" s="1"/>
    </row>
    <row r="938" spans="2:2">
      <c r="B938" s="1"/>
    </row>
    <row r="939" spans="2:2">
      <c r="B939" s="1"/>
    </row>
    <row r="940" spans="2:2">
      <c r="B940" s="1"/>
    </row>
    <row r="941" spans="2:2">
      <c r="B941" s="1"/>
    </row>
    <row r="942" spans="2:2">
      <c r="B942" s="1"/>
    </row>
    <row r="943" spans="2:2">
      <c r="B943" s="1"/>
    </row>
    <row r="944" spans="2:2">
      <c r="B944" s="1"/>
    </row>
    <row r="945" spans="2:2">
      <c r="B945" s="1"/>
    </row>
    <row r="946" spans="2:2">
      <c r="B946" s="1"/>
    </row>
    <row r="947" spans="2:2">
      <c r="B947" s="1"/>
    </row>
    <row r="948" spans="2:2">
      <c r="B948" s="1"/>
    </row>
    <row r="949" spans="2:2">
      <c r="B949" s="1"/>
    </row>
    <row r="950" spans="2:2">
      <c r="B950" s="1"/>
    </row>
    <row r="951" spans="2:2">
      <c r="B951" s="1"/>
    </row>
    <row r="952" spans="2:2">
      <c r="B952" s="1"/>
    </row>
    <row r="953" spans="2:2">
      <c r="B953" s="1"/>
    </row>
    <row r="954" spans="2:2">
      <c r="B954" s="1"/>
    </row>
    <row r="955" spans="2:2">
      <c r="B955" s="1"/>
    </row>
    <row r="956" spans="2:2">
      <c r="B956" s="1"/>
    </row>
    <row r="957" spans="2:2">
      <c r="B957" s="1"/>
    </row>
    <row r="958" spans="2:2">
      <c r="B958" s="1"/>
    </row>
    <row r="959" spans="2:2">
      <c r="B959" s="1"/>
    </row>
    <row r="960" spans="2:2">
      <c r="B960" s="1"/>
    </row>
    <row r="961" spans="2:2">
      <c r="B961" s="1"/>
    </row>
    <row r="962" spans="2:2">
      <c r="B962" s="1"/>
    </row>
    <row r="963" spans="2:2">
      <c r="B963" s="1"/>
    </row>
    <row r="964" spans="2:2">
      <c r="B964" s="1"/>
    </row>
    <row r="965" spans="2:2">
      <c r="B965" s="1"/>
    </row>
    <row r="966" spans="2:2">
      <c r="B966" s="1"/>
    </row>
    <row r="967" spans="2:2">
      <c r="B967" s="1"/>
    </row>
    <row r="968" spans="2:2">
      <c r="B968" s="1"/>
    </row>
    <row r="969" spans="2:2">
      <c r="B969" s="1"/>
    </row>
    <row r="970" spans="2:2">
      <c r="B970" s="1"/>
    </row>
    <row r="971" spans="2:2">
      <c r="B971" s="1"/>
    </row>
    <row r="972" spans="2:2">
      <c r="B972" s="1"/>
    </row>
    <row r="973" spans="2:2">
      <c r="B973" s="1"/>
    </row>
    <row r="974" spans="2:2">
      <c r="B974" s="1"/>
    </row>
    <row r="975" spans="2:2">
      <c r="B975" s="1"/>
    </row>
    <row r="976" spans="2:2">
      <c r="B976" s="1"/>
    </row>
    <row r="977" spans="2:2">
      <c r="B977" s="1"/>
    </row>
    <row r="978" spans="2:2">
      <c r="B978" s="1"/>
    </row>
    <row r="979" spans="2:2">
      <c r="B979" s="1"/>
    </row>
    <row r="980" spans="2:2">
      <c r="B980" s="1"/>
    </row>
    <row r="981" spans="2:2">
      <c r="B981" s="1"/>
    </row>
    <row r="982" spans="2:2">
      <c r="B982" s="1"/>
    </row>
    <row r="983" spans="2:2">
      <c r="B983" s="1"/>
    </row>
    <row r="984" spans="2:2">
      <c r="B984" s="1"/>
    </row>
    <row r="985" spans="2:2">
      <c r="B985" s="1"/>
    </row>
    <row r="986" spans="2:2">
      <c r="B986" s="1"/>
    </row>
    <row r="987" spans="2:2">
      <c r="B987" s="1"/>
    </row>
    <row r="988" spans="2:2">
      <c r="B988" s="1"/>
    </row>
    <row r="989" spans="2:2">
      <c r="B989" s="1"/>
    </row>
    <row r="990" spans="2:2">
      <c r="B990" s="1"/>
    </row>
    <row r="991" spans="2:2">
      <c r="B991" s="1"/>
    </row>
    <row r="992" spans="2:2">
      <c r="B992" s="1"/>
    </row>
    <row r="993" spans="2:2">
      <c r="B993" s="1"/>
    </row>
    <row r="994" spans="2:2">
      <c r="B994" s="1"/>
    </row>
    <row r="995" spans="2:2">
      <c r="B995" s="1"/>
    </row>
    <row r="996" spans="2:2">
      <c r="B996" s="1"/>
    </row>
    <row r="997" spans="2:2">
      <c r="B997" s="1"/>
    </row>
    <row r="998" spans="2:2">
      <c r="B998" s="1"/>
    </row>
    <row r="999" spans="2:2">
      <c r="B999" s="1"/>
    </row>
    <row r="1000" spans="2:2">
      <c r="B1000" s="1"/>
    </row>
    <row r="1001" spans="2:2">
      <c r="B100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5"/>
  <sheetViews>
    <sheetView workbookViewId="0">
      <selection activeCell="L44" sqref="L44"/>
    </sheetView>
  </sheetViews>
  <sheetFormatPr defaultRowHeight="12.75"/>
  <cols>
    <col min="3" max="3" width="17.42578125" customWidth="1"/>
  </cols>
  <sheetData>
    <row r="1" spans="1:12">
      <c r="A1" t="s">
        <v>70</v>
      </c>
      <c r="B1" t="s">
        <v>71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</row>
    <row r="2" spans="1:12">
      <c r="A2" t="s">
        <v>26</v>
      </c>
      <c r="B2" t="s">
        <v>27</v>
      </c>
      <c r="C2" s="23">
        <v>44274.318182870367</v>
      </c>
      <c r="D2" t="s">
        <v>28</v>
      </c>
      <c r="E2" t="s">
        <v>29</v>
      </c>
      <c r="F2" t="s">
        <v>30</v>
      </c>
      <c r="G2">
        <v>1</v>
      </c>
      <c r="H2">
        <v>63.27</v>
      </c>
      <c r="I2">
        <v>1.67</v>
      </c>
      <c r="J2" t="s">
        <v>82</v>
      </c>
      <c r="K2">
        <v>0</v>
      </c>
      <c r="L2">
        <f>IF(F2="Sell",H2*G2,-H2*G2)</f>
        <v>63.27</v>
      </c>
    </row>
    <row r="3" spans="1:12">
      <c r="A3" t="s">
        <v>26</v>
      </c>
      <c r="B3" t="s">
        <v>27</v>
      </c>
      <c r="C3" s="23">
        <v>44274.318182870367</v>
      </c>
      <c r="D3" t="s">
        <v>28</v>
      </c>
      <c r="E3" t="s">
        <v>29</v>
      </c>
      <c r="F3" t="s">
        <v>30</v>
      </c>
      <c r="G3">
        <v>1</v>
      </c>
      <c r="H3">
        <v>63.27</v>
      </c>
      <c r="I3">
        <v>1.67</v>
      </c>
      <c r="J3" t="s">
        <v>83</v>
      </c>
      <c r="K3">
        <v>0</v>
      </c>
      <c r="L3">
        <f t="shared" ref="L3:L44" si="0">IF(F3="Sell",H3*G3,-H3*G3)</f>
        <v>63.27</v>
      </c>
    </row>
    <row r="4" spans="1:12">
      <c r="A4" t="s">
        <v>26</v>
      </c>
      <c r="B4" t="s">
        <v>27</v>
      </c>
      <c r="C4" s="23">
        <v>44274.318148148152</v>
      </c>
      <c r="D4" t="s">
        <v>28</v>
      </c>
      <c r="E4" t="s">
        <v>29</v>
      </c>
      <c r="F4" t="s">
        <v>30</v>
      </c>
      <c r="G4">
        <v>1</v>
      </c>
      <c r="H4">
        <v>63.27</v>
      </c>
      <c r="I4">
        <v>1.67</v>
      </c>
      <c r="J4" t="s">
        <v>84</v>
      </c>
      <c r="K4">
        <v>-1484</v>
      </c>
      <c r="L4">
        <f t="shared" si="0"/>
        <v>63.27</v>
      </c>
    </row>
    <row r="5" spans="1:12">
      <c r="A5" t="s">
        <v>26</v>
      </c>
      <c r="B5" t="s">
        <v>27</v>
      </c>
      <c r="C5" s="23">
        <v>44274.318148148152</v>
      </c>
      <c r="D5" t="s">
        <v>28</v>
      </c>
      <c r="E5" t="s">
        <v>29</v>
      </c>
      <c r="F5" t="s">
        <v>30</v>
      </c>
      <c r="G5">
        <v>1</v>
      </c>
      <c r="H5">
        <v>63.27</v>
      </c>
      <c r="I5">
        <v>1.67</v>
      </c>
      <c r="J5" t="s">
        <v>85</v>
      </c>
      <c r="K5">
        <v>-1484</v>
      </c>
      <c r="L5">
        <f t="shared" si="0"/>
        <v>63.27</v>
      </c>
    </row>
    <row r="6" spans="1:12">
      <c r="A6" t="s">
        <v>26</v>
      </c>
      <c r="B6" t="s">
        <v>27</v>
      </c>
      <c r="C6" s="23">
        <v>44274.318124999998</v>
      </c>
      <c r="D6" t="s">
        <v>28</v>
      </c>
      <c r="E6" t="s">
        <v>29</v>
      </c>
      <c r="F6" t="s">
        <v>30</v>
      </c>
      <c r="G6">
        <v>1</v>
      </c>
      <c r="H6">
        <v>63.27</v>
      </c>
      <c r="I6">
        <v>1.67</v>
      </c>
      <c r="J6" t="s">
        <v>86</v>
      </c>
      <c r="K6">
        <v>-1484</v>
      </c>
      <c r="L6">
        <f t="shared" si="0"/>
        <v>63.27</v>
      </c>
    </row>
    <row r="7" spans="1:12">
      <c r="A7" t="s">
        <v>26</v>
      </c>
      <c r="B7" t="s">
        <v>27</v>
      </c>
      <c r="C7" s="23">
        <v>44274.318090277775</v>
      </c>
      <c r="D7" t="s">
        <v>28</v>
      </c>
      <c r="E7" t="s">
        <v>29</v>
      </c>
      <c r="F7" t="s">
        <v>30</v>
      </c>
      <c r="G7">
        <v>1</v>
      </c>
      <c r="H7">
        <v>63.28</v>
      </c>
      <c r="I7">
        <v>1.67</v>
      </c>
      <c r="J7" t="s">
        <v>31</v>
      </c>
      <c r="K7">
        <v>-1474</v>
      </c>
      <c r="L7">
        <f t="shared" si="0"/>
        <v>63.28</v>
      </c>
    </row>
    <row r="8" spans="1:12">
      <c r="A8" t="s">
        <v>26</v>
      </c>
      <c r="B8" t="s">
        <v>27</v>
      </c>
      <c r="C8" s="23">
        <v>44274.318090277775</v>
      </c>
      <c r="D8" t="s">
        <v>28</v>
      </c>
      <c r="E8" t="s">
        <v>29</v>
      </c>
      <c r="F8" t="s">
        <v>30</v>
      </c>
      <c r="G8">
        <v>1</v>
      </c>
      <c r="H8">
        <v>63.28</v>
      </c>
      <c r="I8">
        <v>1.67</v>
      </c>
      <c r="J8" t="s">
        <v>32</v>
      </c>
      <c r="K8">
        <v>-1474</v>
      </c>
      <c r="L8">
        <f t="shared" si="0"/>
        <v>63.28</v>
      </c>
    </row>
    <row r="9" spans="1:12">
      <c r="A9" t="s">
        <v>26</v>
      </c>
      <c r="B9" t="s">
        <v>27</v>
      </c>
      <c r="C9" s="23">
        <v>44274.318055555559</v>
      </c>
      <c r="D9" t="s">
        <v>28</v>
      </c>
      <c r="E9" t="s">
        <v>29</v>
      </c>
      <c r="F9" t="s">
        <v>33</v>
      </c>
      <c r="G9">
        <v>1</v>
      </c>
      <c r="H9">
        <v>63.29</v>
      </c>
      <c r="I9">
        <v>1.67</v>
      </c>
      <c r="J9" t="s">
        <v>34</v>
      </c>
      <c r="K9">
        <v>0</v>
      </c>
      <c r="L9">
        <f t="shared" si="0"/>
        <v>-63.29</v>
      </c>
    </row>
    <row r="10" spans="1:12">
      <c r="A10" t="s">
        <v>26</v>
      </c>
      <c r="B10" t="s">
        <v>27</v>
      </c>
      <c r="C10" s="23">
        <v>44274.318055555559</v>
      </c>
      <c r="D10" t="s">
        <v>28</v>
      </c>
      <c r="E10" t="s">
        <v>29</v>
      </c>
      <c r="F10" t="s">
        <v>33</v>
      </c>
      <c r="G10">
        <v>1</v>
      </c>
      <c r="H10">
        <v>63.29</v>
      </c>
      <c r="I10">
        <v>1.67</v>
      </c>
      <c r="J10" t="s">
        <v>34</v>
      </c>
      <c r="K10">
        <v>0</v>
      </c>
      <c r="L10">
        <f t="shared" si="0"/>
        <v>-63.29</v>
      </c>
    </row>
    <row r="11" spans="1:12">
      <c r="A11" t="s">
        <v>26</v>
      </c>
      <c r="B11" t="s">
        <v>27</v>
      </c>
      <c r="C11" s="23">
        <v>44274.317939814813</v>
      </c>
      <c r="D11" t="s">
        <v>28</v>
      </c>
      <c r="E11" t="s">
        <v>29</v>
      </c>
      <c r="F11" t="s">
        <v>30</v>
      </c>
      <c r="G11">
        <v>1</v>
      </c>
      <c r="H11">
        <v>63.25</v>
      </c>
      <c r="I11">
        <v>1.67</v>
      </c>
      <c r="J11" t="s">
        <v>35</v>
      </c>
      <c r="K11">
        <v>-2480</v>
      </c>
      <c r="L11">
        <f t="shared" si="0"/>
        <v>63.25</v>
      </c>
    </row>
    <row r="12" spans="1:12">
      <c r="A12" t="s">
        <v>26</v>
      </c>
      <c r="B12" t="s">
        <v>27</v>
      </c>
      <c r="C12" s="23">
        <v>44274.317557870374</v>
      </c>
      <c r="D12" t="s">
        <v>36</v>
      </c>
      <c r="E12" t="s">
        <v>29</v>
      </c>
      <c r="F12" t="s">
        <v>33</v>
      </c>
      <c r="G12">
        <v>1</v>
      </c>
      <c r="H12">
        <v>63.45</v>
      </c>
      <c r="I12">
        <v>1.67</v>
      </c>
      <c r="J12" t="s">
        <v>37</v>
      </c>
      <c r="K12">
        <v>0</v>
      </c>
      <c r="L12">
        <f t="shared" si="0"/>
        <v>-63.45</v>
      </c>
    </row>
    <row r="13" spans="1:12">
      <c r="A13" t="s">
        <v>26</v>
      </c>
      <c r="B13" t="s">
        <v>27</v>
      </c>
      <c r="C13" s="23">
        <v>44274.317557870374</v>
      </c>
      <c r="D13" t="s">
        <v>28</v>
      </c>
      <c r="E13" t="s">
        <v>29</v>
      </c>
      <c r="F13" t="s">
        <v>33</v>
      </c>
      <c r="G13">
        <v>1</v>
      </c>
      <c r="H13">
        <v>63.25</v>
      </c>
      <c r="I13">
        <v>1.67</v>
      </c>
      <c r="J13" t="s">
        <v>38</v>
      </c>
      <c r="K13">
        <v>0</v>
      </c>
      <c r="L13">
        <f t="shared" si="0"/>
        <v>-63.25</v>
      </c>
    </row>
    <row r="14" spans="1:12">
      <c r="A14" t="s">
        <v>26</v>
      </c>
      <c r="B14" t="s">
        <v>27</v>
      </c>
      <c r="C14" s="23">
        <v>44274.317557870374</v>
      </c>
      <c r="D14" t="s">
        <v>28</v>
      </c>
      <c r="E14" t="s">
        <v>29</v>
      </c>
      <c r="F14" t="s">
        <v>33</v>
      </c>
      <c r="G14">
        <v>1</v>
      </c>
      <c r="H14">
        <v>63.25</v>
      </c>
      <c r="I14">
        <v>1.67</v>
      </c>
      <c r="J14" t="s">
        <v>38</v>
      </c>
      <c r="K14">
        <v>0</v>
      </c>
      <c r="L14">
        <f t="shared" si="0"/>
        <v>-63.25</v>
      </c>
    </row>
    <row r="15" spans="1:12">
      <c r="A15" t="s">
        <v>26</v>
      </c>
      <c r="B15" t="s">
        <v>27</v>
      </c>
      <c r="C15" s="23">
        <v>44274.296678240738</v>
      </c>
      <c r="D15" t="s">
        <v>39</v>
      </c>
      <c r="E15" t="s">
        <v>29</v>
      </c>
      <c r="F15" t="s">
        <v>33</v>
      </c>
      <c r="G15">
        <v>1</v>
      </c>
      <c r="H15">
        <v>2.4870000000000001</v>
      </c>
      <c r="I15">
        <v>2.35</v>
      </c>
      <c r="J15" t="s">
        <v>40</v>
      </c>
      <c r="K15">
        <v>580</v>
      </c>
      <c r="L15">
        <f t="shared" si="0"/>
        <v>-2.4870000000000001</v>
      </c>
    </row>
    <row r="16" spans="1:12">
      <c r="A16" t="s">
        <v>26</v>
      </c>
      <c r="B16" t="s">
        <v>27</v>
      </c>
      <c r="C16" s="23">
        <v>44273.340648148151</v>
      </c>
      <c r="D16" t="s">
        <v>41</v>
      </c>
      <c r="E16" t="s">
        <v>29</v>
      </c>
      <c r="F16" t="s">
        <v>33</v>
      </c>
      <c r="G16">
        <v>1</v>
      </c>
      <c r="H16">
        <v>26.585000000000001</v>
      </c>
      <c r="I16">
        <v>2.4</v>
      </c>
      <c r="J16" t="s">
        <v>42</v>
      </c>
      <c r="K16">
        <v>12.5</v>
      </c>
      <c r="L16">
        <f t="shared" si="0"/>
        <v>-26.585000000000001</v>
      </c>
    </row>
    <row r="17" spans="1:12">
      <c r="A17" t="s">
        <v>26</v>
      </c>
      <c r="B17" t="s">
        <v>27</v>
      </c>
      <c r="C17" s="23">
        <v>44273.33625</v>
      </c>
      <c r="D17" t="s">
        <v>41</v>
      </c>
      <c r="E17" t="s">
        <v>29</v>
      </c>
      <c r="F17" t="s">
        <v>33</v>
      </c>
      <c r="G17">
        <v>1</v>
      </c>
      <c r="H17">
        <v>26.585000000000001</v>
      </c>
      <c r="I17">
        <v>2.4</v>
      </c>
      <c r="J17" t="s">
        <v>43</v>
      </c>
      <c r="K17">
        <v>12.5</v>
      </c>
      <c r="L17">
        <f t="shared" si="0"/>
        <v>-26.585000000000001</v>
      </c>
    </row>
    <row r="18" spans="1:12">
      <c r="A18" t="s">
        <v>26</v>
      </c>
      <c r="B18" t="s">
        <v>27</v>
      </c>
      <c r="C18" s="23">
        <v>44273.335509259261</v>
      </c>
      <c r="D18" t="s">
        <v>41</v>
      </c>
      <c r="E18" t="s">
        <v>29</v>
      </c>
      <c r="F18" t="s">
        <v>30</v>
      </c>
      <c r="G18">
        <v>1</v>
      </c>
      <c r="H18">
        <v>26.594999999999999</v>
      </c>
      <c r="I18">
        <v>2.4</v>
      </c>
      <c r="J18" t="s">
        <v>44</v>
      </c>
      <c r="K18">
        <v>0</v>
      </c>
      <c r="L18">
        <f t="shared" si="0"/>
        <v>26.594999999999999</v>
      </c>
    </row>
    <row r="19" spans="1:12">
      <c r="A19" t="s">
        <v>26</v>
      </c>
      <c r="B19" t="s">
        <v>27</v>
      </c>
      <c r="C19" s="23">
        <v>44273.333449074074</v>
      </c>
      <c r="D19" t="s">
        <v>41</v>
      </c>
      <c r="E19" t="s">
        <v>29</v>
      </c>
      <c r="F19" t="s">
        <v>30</v>
      </c>
      <c r="G19">
        <v>1</v>
      </c>
      <c r="H19">
        <v>26.58</v>
      </c>
      <c r="I19">
        <v>2.4</v>
      </c>
      <c r="J19" t="s">
        <v>45</v>
      </c>
      <c r="K19">
        <v>0</v>
      </c>
      <c r="L19">
        <f t="shared" si="0"/>
        <v>26.58</v>
      </c>
    </row>
    <row r="20" spans="1:12">
      <c r="A20" t="s">
        <v>26</v>
      </c>
      <c r="B20" t="s">
        <v>27</v>
      </c>
      <c r="C20" s="23">
        <v>44272.875844907408</v>
      </c>
      <c r="D20" t="s">
        <v>46</v>
      </c>
      <c r="E20" t="s">
        <v>29</v>
      </c>
      <c r="F20" t="s">
        <v>30</v>
      </c>
      <c r="G20">
        <v>1</v>
      </c>
      <c r="H20">
        <v>1736.6</v>
      </c>
      <c r="I20">
        <v>2.4</v>
      </c>
      <c r="J20" t="s">
        <v>47</v>
      </c>
      <c r="K20">
        <v>230</v>
      </c>
      <c r="L20">
        <f t="shared" si="0"/>
        <v>1736.6</v>
      </c>
    </row>
    <row r="21" spans="1:12">
      <c r="A21" t="s">
        <v>26</v>
      </c>
      <c r="B21" t="s">
        <v>27</v>
      </c>
      <c r="C21" s="23">
        <v>44272.411678240744</v>
      </c>
      <c r="D21" t="s">
        <v>39</v>
      </c>
      <c r="E21" t="s">
        <v>29</v>
      </c>
      <c r="F21" t="s">
        <v>30</v>
      </c>
      <c r="G21">
        <v>1</v>
      </c>
      <c r="H21">
        <v>2.5449999999999999</v>
      </c>
      <c r="I21">
        <v>2.35</v>
      </c>
      <c r="J21" t="s">
        <v>48</v>
      </c>
      <c r="K21">
        <v>0</v>
      </c>
      <c r="L21">
        <f t="shared" si="0"/>
        <v>2.5449999999999999</v>
      </c>
    </row>
    <row r="22" spans="1:12">
      <c r="A22" t="s">
        <v>26</v>
      </c>
      <c r="B22" t="s">
        <v>27</v>
      </c>
      <c r="C22" s="23">
        <v>44272.40347222222</v>
      </c>
      <c r="D22" t="s">
        <v>39</v>
      </c>
      <c r="E22" t="s">
        <v>29</v>
      </c>
      <c r="F22" t="s">
        <v>33</v>
      </c>
      <c r="G22">
        <v>1</v>
      </c>
      <c r="H22">
        <v>2.548</v>
      </c>
      <c r="I22">
        <v>2.35</v>
      </c>
      <c r="J22" t="s">
        <v>49</v>
      </c>
      <c r="K22">
        <v>30</v>
      </c>
      <c r="L22">
        <f t="shared" si="0"/>
        <v>-2.548</v>
      </c>
    </row>
    <row r="23" spans="1:12">
      <c r="A23" t="s">
        <v>26</v>
      </c>
      <c r="B23" t="s">
        <v>27</v>
      </c>
      <c r="C23" s="23">
        <v>44272.366678240738</v>
      </c>
      <c r="D23" t="s">
        <v>36</v>
      </c>
      <c r="E23" t="s">
        <v>29</v>
      </c>
      <c r="F23" t="s">
        <v>33</v>
      </c>
      <c r="G23">
        <v>1</v>
      </c>
      <c r="H23">
        <v>68.72</v>
      </c>
      <c r="I23">
        <v>1.67</v>
      </c>
      <c r="J23" t="s">
        <v>50</v>
      </c>
      <c r="K23">
        <v>0</v>
      </c>
      <c r="L23">
        <f t="shared" si="0"/>
        <v>-68.72</v>
      </c>
    </row>
    <row r="24" spans="1:12">
      <c r="A24" t="s">
        <v>26</v>
      </c>
      <c r="B24" t="s">
        <v>27</v>
      </c>
      <c r="C24" s="23">
        <v>44272.366678240738</v>
      </c>
      <c r="D24" t="s">
        <v>28</v>
      </c>
      <c r="E24" t="s">
        <v>29</v>
      </c>
      <c r="F24" t="s">
        <v>33</v>
      </c>
      <c r="G24">
        <v>1</v>
      </c>
      <c r="H24">
        <v>68.209999999999994</v>
      </c>
      <c r="I24">
        <v>1.67</v>
      </c>
      <c r="J24" t="s">
        <v>51</v>
      </c>
      <c r="K24">
        <v>0</v>
      </c>
      <c r="L24">
        <f t="shared" si="0"/>
        <v>-68.209999999999994</v>
      </c>
    </row>
    <row r="25" spans="1:12">
      <c r="A25" t="s">
        <v>26</v>
      </c>
      <c r="B25" t="s">
        <v>27</v>
      </c>
      <c r="C25" s="23">
        <v>44272.366678240738</v>
      </c>
      <c r="D25" t="s">
        <v>28</v>
      </c>
      <c r="E25" t="s">
        <v>29</v>
      </c>
      <c r="F25" t="s">
        <v>33</v>
      </c>
      <c r="G25">
        <v>1</v>
      </c>
      <c r="H25">
        <v>68.209999999999994</v>
      </c>
      <c r="I25">
        <v>1.67</v>
      </c>
      <c r="J25" t="s">
        <v>51</v>
      </c>
      <c r="K25">
        <v>0</v>
      </c>
      <c r="L25">
        <f t="shared" si="0"/>
        <v>-68.209999999999994</v>
      </c>
    </row>
    <row r="26" spans="1:12">
      <c r="A26" t="s">
        <v>26</v>
      </c>
      <c r="B26" t="s">
        <v>27</v>
      </c>
      <c r="C26" s="23">
        <v>44272.359664351854</v>
      </c>
      <c r="D26" t="s">
        <v>39</v>
      </c>
      <c r="E26" t="s">
        <v>29</v>
      </c>
      <c r="F26" t="s">
        <v>30</v>
      </c>
      <c r="G26">
        <v>1</v>
      </c>
      <c r="H26">
        <v>2.5510000000000002</v>
      </c>
      <c r="I26">
        <v>2.35</v>
      </c>
      <c r="J26" t="s">
        <v>52</v>
      </c>
      <c r="K26">
        <v>0</v>
      </c>
      <c r="L26">
        <f t="shared" si="0"/>
        <v>2.5510000000000002</v>
      </c>
    </row>
    <row r="27" spans="1:12">
      <c r="A27" t="s">
        <v>26</v>
      </c>
      <c r="B27" t="s">
        <v>27</v>
      </c>
      <c r="C27" s="23">
        <v>44272.296157407407</v>
      </c>
      <c r="D27" t="s">
        <v>46</v>
      </c>
      <c r="E27" t="s">
        <v>29</v>
      </c>
      <c r="F27" t="s">
        <v>33</v>
      </c>
      <c r="G27">
        <v>1</v>
      </c>
      <c r="H27">
        <v>1734.3</v>
      </c>
      <c r="I27">
        <v>2.4</v>
      </c>
      <c r="J27" t="s">
        <v>53</v>
      </c>
      <c r="K27">
        <v>0</v>
      </c>
      <c r="L27">
        <f t="shared" si="0"/>
        <v>-1734.3</v>
      </c>
    </row>
    <row r="28" spans="1:12">
      <c r="A28" t="s">
        <v>26</v>
      </c>
      <c r="B28" t="s">
        <v>27</v>
      </c>
      <c r="C28" s="23">
        <v>44271.368263888886</v>
      </c>
      <c r="D28" t="s">
        <v>39</v>
      </c>
      <c r="E28" t="s">
        <v>29</v>
      </c>
      <c r="F28" t="s">
        <v>33</v>
      </c>
      <c r="G28">
        <v>1</v>
      </c>
      <c r="H28">
        <v>2.4940000000000002</v>
      </c>
      <c r="I28">
        <v>2.35</v>
      </c>
      <c r="J28" t="s">
        <v>54</v>
      </c>
      <c r="K28">
        <v>-20</v>
      </c>
      <c r="L28">
        <f t="shared" si="0"/>
        <v>-2.4940000000000002</v>
      </c>
    </row>
    <row r="29" spans="1:12">
      <c r="A29" t="s">
        <v>26</v>
      </c>
      <c r="B29" t="s">
        <v>27</v>
      </c>
      <c r="C29" s="23">
        <v>44271.365902777776</v>
      </c>
      <c r="D29" t="s">
        <v>39</v>
      </c>
      <c r="E29" t="s">
        <v>29</v>
      </c>
      <c r="F29" t="s">
        <v>30</v>
      </c>
      <c r="G29">
        <v>1</v>
      </c>
      <c r="H29">
        <v>2.492</v>
      </c>
      <c r="I29">
        <v>2.35</v>
      </c>
      <c r="J29" t="s">
        <v>55</v>
      </c>
      <c r="K29">
        <v>0</v>
      </c>
      <c r="L29">
        <f t="shared" si="0"/>
        <v>2.492</v>
      </c>
    </row>
    <row r="30" spans="1:12">
      <c r="A30" t="s">
        <v>26</v>
      </c>
      <c r="B30" t="s">
        <v>27</v>
      </c>
      <c r="C30" s="23">
        <v>44271.353587962964</v>
      </c>
      <c r="D30" t="s">
        <v>39</v>
      </c>
      <c r="E30" t="s">
        <v>29</v>
      </c>
      <c r="F30" t="s">
        <v>33</v>
      </c>
      <c r="G30">
        <v>1</v>
      </c>
      <c r="H30">
        <v>2.496</v>
      </c>
      <c r="I30">
        <v>2.35</v>
      </c>
      <c r="J30" t="s">
        <v>56</v>
      </c>
      <c r="K30">
        <v>520</v>
      </c>
      <c r="L30">
        <f t="shared" si="0"/>
        <v>-2.496</v>
      </c>
    </row>
    <row r="31" spans="1:12">
      <c r="A31" t="s">
        <v>26</v>
      </c>
      <c r="B31" t="s">
        <v>27</v>
      </c>
      <c r="C31" s="23">
        <v>44270.566122685188</v>
      </c>
      <c r="D31" t="s">
        <v>46</v>
      </c>
      <c r="E31" t="s">
        <v>29</v>
      </c>
      <c r="F31" t="s">
        <v>30</v>
      </c>
      <c r="G31">
        <v>1</v>
      </c>
      <c r="H31">
        <v>1726.4</v>
      </c>
      <c r="I31">
        <v>2.4</v>
      </c>
      <c r="J31" t="s">
        <v>57</v>
      </c>
      <c r="K31">
        <v>1010</v>
      </c>
      <c r="L31">
        <f t="shared" si="0"/>
        <v>1726.4</v>
      </c>
    </row>
    <row r="32" spans="1:12">
      <c r="A32" t="s">
        <v>26</v>
      </c>
      <c r="B32" t="s">
        <v>27</v>
      </c>
      <c r="C32" s="23">
        <v>44270.336585648147</v>
      </c>
      <c r="D32" t="s">
        <v>39</v>
      </c>
      <c r="E32" t="s">
        <v>29</v>
      </c>
      <c r="F32" t="s">
        <v>30</v>
      </c>
      <c r="G32">
        <v>1</v>
      </c>
      <c r="H32">
        <v>2.548</v>
      </c>
      <c r="I32">
        <v>2.35</v>
      </c>
      <c r="J32" t="s">
        <v>58</v>
      </c>
      <c r="K32">
        <v>0</v>
      </c>
      <c r="L32">
        <f t="shared" si="0"/>
        <v>2.548</v>
      </c>
    </row>
    <row r="33" spans="1:12">
      <c r="A33" t="s">
        <v>26</v>
      </c>
      <c r="B33" t="s">
        <v>27</v>
      </c>
      <c r="C33" s="23">
        <v>44267.292291666665</v>
      </c>
      <c r="D33" t="s">
        <v>46</v>
      </c>
      <c r="E33" t="s">
        <v>29</v>
      </c>
      <c r="F33" t="s">
        <v>33</v>
      </c>
      <c r="G33">
        <v>1</v>
      </c>
      <c r="H33">
        <v>1716.3</v>
      </c>
      <c r="I33">
        <v>2.4</v>
      </c>
      <c r="J33" t="s">
        <v>59</v>
      </c>
      <c r="K33">
        <v>0</v>
      </c>
      <c r="L33">
        <f t="shared" si="0"/>
        <v>-1716.3</v>
      </c>
    </row>
    <row r="34" spans="1:12">
      <c r="A34" t="s">
        <v>26</v>
      </c>
      <c r="B34" t="s">
        <v>27</v>
      </c>
      <c r="C34" s="23">
        <v>44266.410243055558</v>
      </c>
      <c r="D34" t="s">
        <v>28</v>
      </c>
      <c r="E34" t="s">
        <v>29</v>
      </c>
      <c r="F34" t="s">
        <v>33</v>
      </c>
      <c r="G34">
        <v>1</v>
      </c>
      <c r="H34">
        <v>67.88</v>
      </c>
      <c r="I34">
        <v>1.67</v>
      </c>
      <c r="J34" t="s">
        <v>60</v>
      </c>
      <c r="K34">
        <v>10</v>
      </c>
      <c r="L34">
        <f t="shared" si="0"/>
        <v>-67.88</v>
      </c>
    </row>
    <row r="35" spans="1:12">
      <c r="A35" t="s">
        <v>26</v>
      </c>
      <c r="B35" t="s">
        <v>27</v>
      </c>
      <c r="C35" s="23">
        <v>44266.361134259256</v>
      </c>
      <c r="D35" t="s">
        <v>28</v>
      </c>
      <c r="E35" t="s">
        <v>29</v>
      </c>
      <c r="F35" t="s">
        <v>30</v>
      </c>
      <c r="G35">
        <v>1</v>
      </c>
      <c r="H35">
        <v>67.89</v>
      </c>
      <c r="I35">
        <v>1.67</v>
      </c>
      <c r="J35" t="s">
        <v>61</v>
      </c>
      <c r="K35">
        <v>0</v>
      </c>
      <c r="L35">
        <f t="shared" si="0"/>
        <v>67.89</v>
      </c>
    </row>
    <row r="36" spans="1:12">
      <c r="A36" t="s">
        <v>26</v>
      </c>
      <c r="B36" t="s">
        <v>27</v>
      </c>
      <c r="C36" s="23">
        <v>44264.381967592592</v>
      </c>
      <c r="D36" t="s">
        <v>39</v>
      </c>
      <c r="E36" t="s">
        <v>29</v>
      </c>
      <c r="F36" t="s">
        <v>30</v>
      </c>
      <c r="G36">
        <v>1</v>
      </c>
      <c r="H36">
        <v>2.6469999999999998</v>
      </c>
      <c r="I36">
        <v>2.35</v>
      </c>
      <c r="J36" t="s">
        <v>62</v>
      </c>
      <c r="K36">
        <v>0</v>
      </c>
      <c r="L36">
        <f t="shared" si="0"/>
        <v>2.6469999999999998</v>
      </c>
    </row>
    <row r="37" spans="1:12">
      <c r="A37" t="s">
        <v>26</v>
      </c>
      <c r="B37" t="s">
        <v>27</v>
      </c>
      <c r="C37" s="23">
        <v>44264.37939814815</v>
      </c>
      <c r="D37" t="s">
        <v>39</v>
      </c>
      <c r="E37" t="s">
        <v>29</v>
      </c>
      <c r="F37" t="s">
        <v>33</v>
      </c>
      <c r="G37">
        <v>1</v>
      </c>
      <c r="H37">
        <v>2.6469999999999998</v>
      </c>
      <c r="I37">
        <v>2.35</v>
      </c>
      <c r="J37" t="s">
        <v>63</v>
      </c>
      <c r="K37">
        <v>0</v>
      </c>
      <c r="L37">
        <f t="shared" si="0"/>
        <v>-2.6469999999999998</v>
      </c>
    </row>
    <row r="38" spans="1:12">
      <c r="A38" t="s">
        <v>26</v>
      </c>
      <c r="B38" t="s">
        <v>27</v>
      </c>
      <c r="C38" s="23">
        <v>44258.411203703705</v>
      </c>
      <c r="D38" t="s">
        <v>46</v>
      </c>
      <c r="E38" t="s">
        <v>29</v>
      </c>
      <c r="F38" t="s">
        <v>33</v>
      </c>
      <c r="G38">
        <v>1</v>
      </c>
      <c r="H38">
        <v>1731.3</v>
      </c>
      <c r="I38">
        <v>2.4</v>
      </c>
      <c r="J38" t="s">
        <v>64</v>
      </c>
      <c r="K38">
        <v>180</v>
      </c>
      <c r="L38">
        <f t="shared" si="0"/>
        <v>-1731.3</v>
      </c>
    </row>
    <row r="39" spans="1:12">
      <c r="A39" t="s">
        <v>26</v>
      </c>
      <c r="B39" t="s">
        <v>27</v>
      </c>
      <c r="C39" s="23">
        <v>44258.411157407405</v>
      </c>
      <c r="D39" t="s">
        <v>46</v>
      </c>
      <c r="E39" t="s">
        <v>29</v>
      </c>
      <c r="F39" t="s">
        <v>33</v>
      </c>
      <c r="G39">
        <v>1</v>
      </c>
      <c r="H39">
        <v>1731.3</v>
      </c>
      <c r="I39">
        <v>2.4</v>
      </c>
      <c r="J39" t="s">
        <v>64</v>
      </c>
      <c r="K39">
        <v>180</v>
      </c>
      <c r="L39">
        <f t="shared" si="0"/>
        <v>-1731.3</v>
      </c>
    </row>
    <row r="40" spans="1:12">
      <c r="A40" t="s">
        <v>26</v>
      </c>
      <c r="B40" t="s">
        <v>27</v>
      </c>
      <c r="C40" s="23">
        <v>44258.364016203705</v>
      </c>
      <c r="D40" t="s">
        <v>36</v>
      </c>
      <c r="E40" t="s">
        <v>29</v>
      </c>
      <c r="F40" t="s">
        <v>33</v>
      </c>
      <c r="G40">
        <v>1</v>
      </c>
      <c r="H40">
        <v>62.95</v>
      </c>
      <c r="I40">
        <v>1.67</v>
      </c>
      <c r="J40" t="s">
        <v>65</v>
      </c>
      <c r="K40">
        <v>20</v>
      </c>
      <c r="L40">
        <f t="shared" si="0"/>
        <v>-62.95</v>
      </c>
    </row>
    <row r="41" spans="1:12">
      <c r="A41" t="s">
        <v>26</v>
      </c>
      <c r="B41" t="s">
        <v>27</v>
      </c>
      <c r="C41" s="23">
        <v>44258.358043981483</v>
      </c>
      <c r="D41" t="s">
        <v>39</v>
      </c>
      <c r="E41" t="s">
        <v>29</v>
      </c>
      <c r="F41" t="s">
        <v>33</v>
      </c>
      <c r="G41">
        <v>1</v>
      </c>
      <c r="H41">
        <v>2.8290000000000002</v>
      </c>
      <c r="I41">
        <v>2.35</v>
      </c>
      <c r="J41" t="s">
        <v>66</v>
      </c>
      <c r="K41">
        <v>120</v>
      </c>
      <c r="L41">
        <f t="shared" si="0"/>
        <v>-2.8290000000000002</v>
      </c>
    </row>
    <row r="42" spans="1:12">
      <c r="A42" t="s">
        <v>26</v>
      </c>
      <c r="B42" t="s">
        <v>27</v>
      </c>
      <c r="C42" s="23">
        <v>44258.292280092595</v>
      </c>
      <c r="D42" t="s">
        <v>39</v>
      </c>
      <c r="E42" t="s">
        <v>29</v>
      </c>
      <c r="F42" t="s">
        <v>30</v>
      </c>
      <c r="G42">
        <v>1</v>
      </c>
      <c r="H42">
        <v>2.8410000000000002</v>
      </c>
      <c r="I42">
        <v>2.35</v>
      </c>
      <c r="J42" t="s">
        <v>67</v>
      </c>
      <c r="K42">
        <v>0</v>
      </c>
      <c r="L42">
        <f t="shared" si="0"/>
        <v>2.8410000000000002</v>
      </c>
    </row>
    <row r="43" spans="1:12">
      <c r="A43" t="s">
        <v>26</v>
      </c>
      <c r="B43" t="s">
        <v>27</v>
      </c>
      <c r="C43" s="23">
        <v>44258.292187500003</v>
      </c>
      <c r="D43" t="s">
        <v>36</v>
      </c>
      <c r="E43" t="s">
        <v>29</v>
      </c>
      <c r="F43" t="s">
        <v>30</v>
      </c>
      <c r="G43">
        <v>1</v>
      </c>
      <c r="H43">
        <v>62.97</v>
      </c>
      <c r="I43">
        <v>1.67</v>
      </c>
      <c r="J43" t="s">
        <v>68</v>
      </c>
      <c r="K43">
        <v>0</v>
      </c>
      <c r="L43">
        <f t="shared" si="0"/>
        <v>62.97</v>
      </c>
    </row>
    <row r="44" spans="1:12">
      <c r="A44" t="s">
        <v>26</v>
      </c>
      <c r="B44" t="s">
        <v>27</v>
      </c>
      <c r="C44" s="23">
        <v>44258.292071759257</v>
      </c>
      <c r="D44" t="s">
        <v>46</v>
      </c>
      <c r="E44" t="s">
        <v>29</v>
      </c>
      <c r="F44" t="s">
        <v>30</v>
      </c>
      <c r="G44">
        <v>2</v>
      </c>
      <c r="H44">
        <v>1733.1</v>
      </c>
      <c r="I44">
        <v>4.8</v>
      </c>
      <c r="J44" t="s">
        <v>69</v>
      </c>
      <c r="K44">
        <v>0</v>
      </c>
      <c r="L44">
        <f t="shared" si="0"/>
        <v>3466.2</v>
      </c>
    </row>
    <row r="45" spans="1:12">
      <c r="L45" s="26">
        <f>SUM(L2:L44)</f>
        <v>0.6479999999996835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opLeftCell="A133" workbookViewId="0">
      <selection activeCell="F139" sqref="F139"/>
    </sheetView>
  </sheetViews>
  <sheetFormatPr defaultColWidth="14.42578125" defaultRowHeight="15.75" customHeight="1"/>
  <sheetData>
    <row r="1" spans="1:6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6" t="s">
        <v>5</v>
      </c>
    </row>
    <row r="2" spans="1:6">
      <c r="A2" s="7">
        <v>0.42221064814814813</v>
      </c>
      <c r="B2" s="4" t="s">
        <v>6</v>
      </c>
      <c r="C2" s="4" t="s">
        <v>7</v>
      </c>
      <c r="D2" s="8">
        <v>1732</v>
      </c>
      <c r="E2" s="9">
        <v>76</v>
      </c>
      <c r="F2" s="1">
        <f t="shared" ref="F2:F138" si="0">IF(C2="Продажа",D2*E2,-D2*E2)</f>
        <v>131632</v>
      </c>
    </row>
    <row r="3" spans="1:6">
      <c r="A3" s="7">
        <v>0.42099537037037038</v>
      </c>
      <c r="B3" s="4" t="s">
        <v>6</v>
      </c>
      <c r="C3" s="4" t="s">
        <v>7</v>
      </c>
      <c r="D3" s="8">
        <v>1732</v>
      </c>
      <c r="E3" s="9">
        <v>9</v>
      </c>
      <c r="F3" s="1">
        <f t="shared" si="0"/>
        <v>15588</v>
      </c>
    </row>
    <row r="4" spans="1:6">
      <c r="A4" s="7">
        <v>0.42099537037037038</v>
      </c>
      <c r="B4" s="4" t="s">
        <v>6</v>
      </c>
      <c r="C4" s="4" t="s">
        <v>7</v>
      </c>
      <c r="D4" s="8">
        <v>1732</v>
      </c>
      <c r="E4" s="9">
        <v>1</v>
      </c>
      <c r="F4" s="1">
        <f t="shared" si="0"/>
        <v>1732</v>
      </c>
    </row>
    <row r="5" spans="1:6">
      <c r="A5" s="7">
        <v>0.42099537037037038</v>
      </c>
      <c r="B5" s="4" t="s">
        <v>6</v>
      </c>
      <c r="C5" s="4" t="s">
        <v>7</v>
      </c>
      <c r="D5" s="8">
        <v>1732</v>
      </c>
      <c r="E5" s="9">
        <v>10</v>
      </c>
      <c r="F5" s="1">
        <f t="shared" si="0"/>
        <v>17320</v>
      </c>
    </row>
    <row r="6" spans="1:6">
      <c r="A6" s="7">
        <v>0.42099537037037038</v>
      </c>
      <c r="B6" s="4" t="s">
        <v>6</v>
      </c>
      <c r="C6" s="4" t="s">
        <v>7</v>
      </c>
      <c r="D6" s="8">
        <v>1732</v>
      </c>
      <c r="E6" s="9">
        <v>1</v>
      </c>
      <c r="F6" s="1">
        <f t="shared" si="0"/>
        <v>1732</v>
      </c>
    </row>
    <row r="7" spans="1:6">
      <c r="A7" s="7">
        <v>0.42099537037037038</v>
      </c>
      <c r="B7" s="4" t="s">
        <v>6</v>
      </c>
      <c r="C7" s="4" t="s">
        <v>7</v>
      </c>
      <c r="D7" s="8">
        <v>1732</v>
      </c>
      <c r="E7" s="9">
        <v>2</v>
      </c>
      <c r="F7" s="1">
        <f t="shared" si="0"/>
        <v>3464</v>
      </c>
    </row>
    <row r="8" spans="1:6">
      <c r="A8" s="7">
        <v>0.42099537037037038</v>
      </c>
      <c r="B8" s="4" t="s">
        <v>6</v>
      </c>
      <c r="C8" s="4" t="s">
        <v>7</v>
      </c>
      <c r="D8" s="8">
        <v>1732</v>
      </c>
      <c r="E8" s="9">
        <v>1</v>
      </c>
      <c r="F8" s="1">
        <f t="shared" si="0"/>
        <v>1732</v>
      </c>
    </row>
    <row r="9" spans="1:6">
      <c r="A9" s="7">
        <v>0.42099537037037038</v>
      </c>
      <c r="B9" s="4" t="s">
        <v>6</v>
      </c>
      <c r="C9" s="4" t="s">
        <v>7</v>
      </c>
      <c r="D9" s="8">
        <v>1732</v>
      </c>
      <c r="E9" s="9">
        <v>10</v>
      </c>
      <c r="F9" s="1">
        <f t="shared" si="0"/>
        <v>17320</v>
      </c>
    </row>
    <row r="10" spans="1:6">
      <c r="A10" s="7">
        <v>0.42099537037037038</v>
      </c>
      <c r="B10" s="4" t="s">
        <v>6</v>
      </c>
      <c r="C10" s="4" t="s">
        <v>7</v>
      </c>
      <c r="D10" s="8">
        <v>1732.1</v>
      </c>
      <c r="E10" s="9">
        <v>10</v>
      </c>
      <c r="F10" s="1">
        <f t="shared" si="0"/>
        <v>17321</v>
      </c>
    </row>
    <row r="11" spans="1:6">
      <c r="A11" s="7">
        <v>0.42099537037037038</v>
      </c>
      <c r="B11" s="4" t="s">
        <v>6</v>
      </c>
      <c r="C11" s="4" t="s">
        <v>7</v>
      </c>
      <c r="D11" s="8">
        <v>1732.1</v>
      </c>
      <c r="E11" s="9">
        <v>3</v>
      </c>
      <c r="F11" s="1">
        <f t="shared" si="0"/>
        <v>5196.2999999999993</v>
      </c>
    </row>
    <row r="12" spans="1:6">
      <c r="A12" s="7">
        <v>0.42099537037037038</v>
      </c>
      <c r="B12" s="4" t="s">
        <v>6</v>
      </c>
      <c r="C12" s="4" t="s">
        <v>7</v>
      </c>
      <c r="D12" s="8">
        <v>1732.1</v>
      </c>
      <c r="E12" s="9">
        <v>3</v>
      </c>
      <c r="F12" s="1">
        <f t="shared" si="0"/>
        <v>5196.2999999999993</v>
      </c>
    </row>
    <row r="13" spans="1:6">
      <c r="A13" s="7">
        <v>0.4208796296296296</v>
      </c>
      <c r="B13" s="4" t="s">
        <v>6</v>
      </c>
      <c r="C13" s="4" t="s">
        <v>7</v>
      </c>
      <c r="D13" s="8">
        <v>1731.9</v>
      </c>
      <c r="E13" s="9">
        <v>3</v>
      </c>
      <c r="F13" s="1">
        <f t="shared" si="0"/>
        <v>5195.7000000000007</v>
      </c>
    </row>
    <row r="14" spans="1:6">
      <c r="A14" s="7">
        <v>0.4208796296296296</v>
      </c>
      <c r="B14" s="4" t="s">
        <v>6</v>
      </c>
      <c r="C14" s="4" t="s">
        <v>7</v>
      </c>
      <c r="D14" s="8">
        <v>1731.9</v>
      </c>
      <c r="E14" s="9">
        <v>10</v>
      </c>
      <c r="F14" s="1">
        <f t="shared" si="0"/>
        <v>17319</v>
      </c>
    </row>
    <row r="15" spans="1:6">
      <c r="A15" s="7">
        <v>0.4208796296296296</v>
      </c>
      <c r="B15" s="4" t="s">
        <v>6</v>
      </c>
      <c r="C15" s="4" t="s">
        <v>7</v>
      </c>
      <c r="D15" s="8">
        <v>1731.9</v>
      </c>
      <c r="E15" s="9">
        <v>40</v>
      </c>
      <c r="F15" s="1">
        <f t="shared" si="0"/>
        <v>69276</v>
      </c>
    </row>
    <row r="16" spans="1:6">
      <c r="A16" s="7">
        <v>0.4208796296296296</v>
      </c>
      <c r="B16" s="4" t="s">
        <v>6</v>
      </c>
      <c r="C16" s="4" t="s">
        <v>7</v>
      </c>
      <c r="D16" s="8">
        <v>1731.9</v>
      </c>
      <c r="E16" s="9">
        <v>7</v>
      </c>
      <c r="F16" s="1">
        <f t="shared" si="0"/>
        <v>12123.300000000001</v>
      </c>
    </row>
    <row r="17" spans="1:6">
      <c r="A17" s="7">
        <v>0.41981481481481481</v>
      </c>
      <c r="B17" s="4" t="s">
        <v>6</v>
      </c>
      <c r="C17" s="4" t="s">
        <v>7</v>
      </c>
      <c r="D17" s="8">
        <v>1731.8</v>
      </c>
      <c r="E17" s="9">
        <v>50</v>
      </c>
      <c r="F17" s="1">
        <f t="shared" si="0"/>
        <v>86590</v>
      </c>
    </row>
    <row r="18" spans="1:6">
      <c r="A18" s="7">
        <v>0.41900462962962964</v>
      </c>
      <c r="B18" s="4" t="s">
        <v>6</v>
      </c>
      <c r="C18" s="4" t="s">
        <v>8</v>
      </c>
      <c r="D18" s="8">
        <v>1732</v>
      </c>
      <c r="E18" s="9">
        <v>1</v>
      </c>
      <c r="F18" s="1">
        <f t="shared" si="0"/>
        <v>-1732</v>
      </c>
    </row>
    <row r="19" spans="1:6">
      <c r="A19" s="7">
        <v>0.41900462962962964</v>
      </c>
      <c r="B19" s="4" t="s">
        <v>6</v>
      </c>
      <c r="C19" s="4" t="s">
        <v>8</v>
      </c>
      <c r="D19" s="8">
        <v>1732</v>
      </c>
      <c r="E19" s="9">
        <v>3</v>
      </c>
      <c r="F19" s="1">
        <f t="shared" si="0"/>
        <v>-5196</v>
      </c>
    </row>
    <row r="20" spans="1:6">
      <c r="A20" s="7">
        <v>0.41892361111111109</v>
      </c>
      <c r="B20" s="4" t="s">
        <v>6</v>
      </c>
      <c r="C20" s="4" t="s">
        <v>8</v>
      </c>
      <c r="D20" s="8">
        <v>1732</v>
      </c>
      <c r="E20" s="9">
        <v>10</v>
      </c>
      <c r="F20" s="1">
        <f t="shared" si="0"/>
        <v>-17320</v>
      </c>
    </row>
    <row r="21" spans="1:6">
      <c r="A21" s="7">
        <v>0.41892361111111109</v>
      </c>
      <c r="B21" s="4" t="s">
        <v>6</v>
      </c>
      <c r="C21" s="4" t="s">
        <v>8</v>
      </c>
      <c r="D21" s="8">
        <v>1732</v>
      </c>
      <c r="E21" s="9">
        <v>25</v>
      </c>
      <c r="F21" s="1">
        <f t="shared" si="0"/>
        <v>-43300</v>
      </c>
    </row>
    <row r="22" spans="1:6">
      <c r="A22" s="7">
        <v>0.41892361111111109</v>
      </c>
      <c r="B22" s="4" t="s">
        <v>6</v>
      </c>
      <c r="C22" s="4" t="s">
        <v>8</v>
      </c>
      <c r="D22" s="8">
        <v>1732</v>
      </c>
      <c r="E22" s="9">
        <v>19</v>
      </c>
      <c r="F22" s="1">
        <f t="shared" si="0"/>
        <v>-32908</v>
      </c>
    </row>
    <row r="23" spans="1:6">
      <c r="A23" s="7">
        <v>0.41878472222222224</v>
      </c>
      <c r="B23" s="4" t="s">
        <v>6</v>
      </c>
      <c r="C23" s="4" t="s">
        <v>7</v>
      </c>
      <c r="D23" s="8">
        <v>1731.9</v>
      </c>
      <c r="E23" s="9">
        <v>16</v>
      </c>
      <c r="F23" s="1">
        <f t="shared" si="0"/>
        <v>27710.400000000001</v>
      </c>
    </row>
    <row r="24" spans="1:6">
      <c r="A24" s="7">
        <v>0.41873842592592592</v>
      </c>
      <c r="B24" s="4" t="s">
        <v>6</v>
      </c>
      <c r="C24" s="4" t="s">
        <v>7</v>
      </c>
      <c r="D24" s="8">
        <v>1731.9</v>
      </c>
      <c r="E24" s="9">
        <v>4</v>
      </c>
      <c r="F24" s="1">
        <f t="shared" si="0"/>
        <v>6927.6</v>
      </c>
    </row>
    <row r="25" spans="1:6">
      <c r="A25" s="7">
        <v>0.41541666666666666</v>
      </c>
      <c r="B25" s="4" t="s">
        <v>6</v>
      </c>
      <c r="C25" s="4" t="s">
        <v>7</v>
      </c>
      <c r="D25" s="8">
        <v>1733.4</v>
      </c>
      <c r="E25" s="9">
        <v>1</v>
      </c>
      <c r="F25" s="1">
        <f t="shared" si="0"/>
        <v>1733.4</v>
      </c>
    </row>
    <row r="26" spans="1:6">
      <c r="A26" s="7">
        <v>0.41010416666666666</v>
      </c>
      <c r="B26" s="4" t="s">
        <v>6</v>
      </c>
      <c r="C26" s="4" t="s">
        <v>7</v>
      </c>
      <c r="D26" s="8">
        <v>1733.1</v>
      </c>
      <c r="E26" s="9">
        <v>1</v>
      </c>
      <c r="F26" s="1">
        <f t="shared" si="0"/>
        <v>1733.1</v>
      </c>
    </row>
    <row r="27" spans="1:6">
      <c r="A27" s="7">
        <v>0.40111111111111108</v>
      </c>
      <c r="B27" s="4" t="s">
        <v>9</v>
      </c>
      <c r="C27" s="4" t="s">
        <v>7</v>
      </c>
      <c r="D27" s="9">
        <v>26.61</v>
      </c>
      <c r="E27" s="9">
        <v>1</v>
      </c>
      <c r="F27" s="1">
        <f t="shared" si="0"/>
        <v>26.61</v>
      </c>
    </row>
    <row r="28" spans="1:6">
      <c r="A28" s="7">
        <v>0.40109953703703705</v>
      </c>
      <c r="B28" s="4" t="s">
        <v>9</v>
      </c>
      <c r="C28" s="4" t="s">
        <v>7</v>
      </c>
      <c r="D28" s="9">
        <v>26.61</v>
      </c>
      <c r="E28" s="9">
        <v>1</v>
      </c>
      <c r="F28" s="1">
        <f t="shared" si="0"/>
        <v>26.61</v>
      </c>
    </row>
    <row r="29" spans="1:6">
      <c r="A29" s="7">
        <v>0.39892361111111113</v>
      </c>
      <c r="B29" s="4" t="s">
        <v>10</v>
      </c>
      <c r="C29" s="4" t="s">
        <v>8</v>
      </c>
      <c r="D29" s="9">
        <v>2.855</v>
      </c>
      <c r="E29" s="9">
        <v>1</v>
      </c>
      <c r="F29" s="1">
        <f t="shared" si="0"/>
        <v>-2.855</v>
      </c>
    </row>
    <row r="30" spans="1:6">
      <c r="A30" s="7">
        <v>0.3974421296296296</v>
      </c>
      <c r="B30" s="4" t="s">
        <v>9</v>
      </c>
      <c r="C30" s="4" t="s">
        <v>7</v>
      </c>
      <c r="D30" s="9">
        <v>26.61</v>
      </c>
      <c r="E30" s="9">
        <v>4</v>
      </c>
      <c r="F30" s="1">
        <f t="shared" si="0"/>
        <v>106.44</v>
      </c>
    </row>
    <row r="31" spans="1:6">
      <c r="A31" s="7">
        <v>0.3973726851851852</v>
      </c>
      <c r="B31" s="4" t="s">
        <v>9</v>
      </c>
      <c r="C31" s="4" t="s">
        <v>7</v>
      </c>
      <c r="D31" s="9">
        <v>26.61</v>
      </c>
      <c r="E31" s="9">
        <v>1</v>
      </c>
      <c r="F31" s="1">
        <f t="shared" si="0"/>
        <v>26.61</v>
      </c>
    </row>
    <row r="32" spans="1:6">
      <c r="A32" s="7">
        <v>0.39730324074074075</v>
      </c>
      <c r="B32" s="4" t="s">
        <v>9</v>
      </c>
      <c r="C32" s="4" t="s">
        <v>7</v>
      </c>
      <c r="D32" s="9">
        <v>26.61</v>
      </c>
      <c r="E32" s="9">
        <v>1</v>
      </c>
      <c r="F32" s="1">
        <f t="shared" si="0"/>
        <v>26.61</v>
      </c>
    </row>
    <row r="33" spans="1:6">
      <c r="A33" s="7">
        <v>0.39672453703703703</v>
      </c>
      <c r="B33" s="4" t="s">
        <v>9</v>
      </c>
      <c r="C33" s="4" t="s">
        <v>7</v>
      </c>
      <c r="D33" s="9">
        <v>26.61</v>
      </c>
      <c r="E33" s="9">
        <v>2</v>
      </c>
      <c r="F33" s="1">
        <f t="shared" si="0"/>
        <v>53.22</v>
      </c>
    </row>
    <row r="34" spans="1:6">
      <c r="A34" s="7">
        <v>0.39660879629629631</v>
      </c>
      <c r="B34" s="4" t="s">
        <v>9</v>
      </c>
      <c r="C34" s="4" t="s">
        <v>7</v>
      </c>
      <c r="D34" s="9">
        <v>26.61</v>
      </c>
      <c r="E34" s="9">
        <v>2</v>
      </c>
      <c r="F34" s="1">
        <f t="shared" si="0"/>
        <v>53.22</v>
      </c>
    </row>
    <row r="35" spans="1:6">
      <c r="A35" s="7">
        <v>0.39611111111111114</v>
      </c>
      <c r="B35" s="4" t="s">
        <v>9</v>
      </c>
      <c r="C35" s="4" t="s">
        <v>7</v>
      </c>
      <c r="D35" s="9">
        <v>26.61</v>
      </c>
      <c r="E35" s="9">
        <v>1</v>
      </c>
      <c r="F35" s="1">
        <f t="shared" si="0"/>
        <v>26.61</v>
      </c>
    </row>
    <row r="36" spans="1:6">
      <c r="A36" s="7">
        <v>0.38752314814814814</v>
      </c>
      <c r="B36" s="4" t="s">
        <v>9</v>
      </c>
      <c r="C36" s="4" t="s">
        <v>7</v>
      </c>
      <c r="D36" s="9">
        <v>26.62</v>
      </c>
      <c r="E36" s="9">
        <v>27</v>
      </c>
      <c r="F36" s="1">
        <f t="shared" si="0"/>
        <v>718.74</v>
      </c>
    </row>
    <row r="37" spans="1:6">
      <c r="A37" s="7">
        <v>0.38752314814814814</v>
      </c>
      <c r="B37" s="4" t="s">
        <v>9</v>
      </c>
      <c r="C37" s="4" t="s">
        <v>7</v>
      </c>
      <c r="D37" s="9">
        <v>26.62</v>
      </c>
      <c r="E37" s="9">
        <v>23</v>
      </c>
      <c r="F37" s="1">
        <f t="shared" si="0"/>
        <v>612.26</v>
      </c>
    </row>
    <row r="38" spans="1:6">
      <c r="A38" s="7">
        <v>0.3873611111111111</v>
      </c>
      <c r="B38" s="4" t="s">
        <v>9</v>
      </c>
      <c r="C38" s="4" t="s">
        <v>7</v>
      </c>
      <c r="D38" s="9">
        <v>26.62</v>
      </c>
      <c r="E38" s="9">
        <v>22</v>
      </c>
      <c r="F38" s="1">
        <f t="shared" si="0"/>
        <v>585.64</v>
      </c>
    </row>
    <row r="39" spans="1:6">
      <c r="A39" s="7">
        <v>0.3870601851851852</v>
      </c>
      <c r="B39" s="4" t="s">
        <v>9</v>
      </c>
      <c r="C39" s="4" t="s">
        <v>7</v>
      </c>
      <c r="D39" s="9">
        <v>26.62</v>
      </c>
      <c r="E39" s="9">
        <v>30</v>
      </c>
      <c r="F39" s="1">
        <f t="shared" si="0"/>
        <v>798.6</v>
      </c>
    </row>
    <row r="40" spans="1:6">
      <c r="A40" s="7">
        <v>0.38678240740740738</v>
      </c>
      <c r="B40" s="4" t="s">
        <v>9</v>
      </c>
      <c r="C40" s="4" t="s">
        <v>7</v>
      </c>
      <c r="D40" s="9">
        <v>26.62</v>
      </c>
      <c r="E40" s="9">
        <v>1</v>
      </c>
      <c r="F40" s="1">
        <f t="shared" si="0"/>
        <v>26.62</v>
      </c>
    </row>
    <row r="41" spans="1:6">
      <c r="A41" s="7">
        <v>0.38678240740740738</v>
      </c>
      <c r="B41" s="4" t="s">
        <v>9</v>
      </c>
      <c r="C41" s="4" t="s">
        <v>7</v>
      </c>
      <c r="D41" s="9">
        <v>26.62</v>
      </c>
      <c r="E41" s="9">
        <v>10</v>
      </c>
      <c r="F41" s="1">
        <f t="shared" si="0"/>
        <v>266.2</v>
      </c>
    </row>
    <row r="42" spans="1:6">
      <c r="A42" s="7">
        <v>0.38604166666666667</v>
      </c>
      <c r="B42" s="4" t="s">
        <v>9</v>
      </c>
      <c r="C42" s="4" t="s">
        <v>7</v>
      </c>
      <c r="D42" s="9">
        <v>26.62</v>
      </c>
      <c r="E42" s="9">
        <v>20</v>
      </c>
      <c r="F42" s="1">
        <f t="shared" si="0"/>
        <v>532.4</v>
      </c>
    </row>
    <row r="43" spans="1:6">
      <c r="A43" s="7">
        <v>0.37959490740740742</v>
      </c>
      <c r="B43" s="4" t="s">
        <v>9</v>
      </c>
      <c r="C43" s="4" t="s">
        <v>7</v>
      </c>
      <c r="D43" s="9">
        <v>26.65</v>
      </c>
      <c r="E43" s="9">
        <v>1</v>
      </c>
      <c r="F43" s="1">
        <f t="shared" si="0"/>
        <v>26.65</v>
      </c>
    </row>
    <row r="44" spans="1:6">
      <c r="A44" s="7">
        <v>0.37810185185185186</v>
      </c>
      <c r="B44" s="4" t="s">
        <v>9</v>
      </c>
      <c r="C44" s="4" t="s">
        <v>7</v>
      </c>
      <c r="D44" s="9">
        <v>26.65</v>
      </c>
      <c r="E44" s="9">
        <v>25</v>
      </c>
      <c r="F44" s="1">
        <f t="shared" si="0"/>
        <v>666.25</v>
      </c>
    </row>
    <row r="45" spans="1:6">
      <c r="A45" s="7">
        <v>0.37797453703703704</v>
      </c>
      <c r="B45" s="4" t="s">
        <v>9</v>
      </c>
      <c r="C45" s="4" t="s">
        <v>7</v>
      </c>
      <c r="D45" s="9">
        <v>26.65</v>
      </c>
      <c r="E45" s="9">
        <v>25</v>
      </c>
      <c r="F45" s="1">
        <f t="shared" si="0"/>
        <v>666.25</v>
      </c>
    </row>
    <row r="46" spans="1:6">
      <c r="A46" s="7">
        <v>0.3777314814814815</v>
      </c>
      <c r="B46" s="4" t="s">
        <v>9</v>
      </c>
      <c r="C46" s="4" t="s">
        <v>7</v>
      </c>
      <c r="D46" s="9">
        <v>26.65</v>
      </c>
      <c r="E46" s="9">
        <v>1</v>
      </c>
      <c r="F46" s="1">
        <f t="shared" si="0"/>
        <v>26.65</v>
      </c>
    </row>
    <row r="47" spans="1:6">
      <c r="A47" s="7">
        <v>0.37587962962962962</v>
      </c>
      <c r="B47" s="4" t="s">
        <v>9</v>
      </c>
      <c r="C47" s="4" t="s">
        <v>7</v>
      </c>
      <c r="D47" s="9">
        <v>26.65</v>
      </c>
      <c r="E47" s="9">
        <v>30</v>
      </c>
      <c r="F47" s="1">
        <f t="shared" si="0"/>
        <v>799.5</v>
      </c>
    </row>
    <row r="48" spans="1:6">
      <c r="A48" s="7">
        <v>0.37578703703703703</v>
      </c>
      <c r="B48" s="4" t="s">
        <v>9</v>
      </c>
      <c r="C48" s="4" t="s">
        <v>7</v>
      </c>
      <c r="D48" s="9">
        <v>26.65</v>
      </c>
      <c r="E48" s="9">
        <v>1</v>
      </c>
      <c r="F48" s="1">
        <f t="shared" si="0"/>
        <v>26.65</v>
      </c>
    </row>
    <row r="49" spans="1:6">
      <c r="A49" s="7">
        <v>0.37560185185185185</v>
      </c>
      <c r="B49" s="4" t="s">
        <v>9</v>
      </c>
      <c r="C49" s="4" t="s">
        <v>7</v>
      </c>
      <c r="D49" s="9">
        <v>26.65</v>
      </c>
      <c r="E49" s="9">
        <v>3</v>
      </c>
      <c r="F49" s="1">
        <f t="shared" si="0"/>
        <v>79.949999999999989</v>
      </c>
    </row>
    <row r="50" spans="1:6">
      <c r="A50" s="7">
        <v>0.37548611111111113</v>
      </c>
      <c r="B50" s="4" t="s">
        <v>9</v>
      </c>
      <c r="C50" s="4" t="s">
        <v>7</v>
      </c>
      <c r="D50" s="9">
        <v>26.65</v>
      </c>
      <c r="E50" s="9">
        <v>10</v>
      </c>
      <c r="F50" s="1">
        <f t="shared" si="0"/>
        <v>266.5</v>
      </c>
    </row>
    <row r="51" spans="1:6">
      <c r="A51" s="7">
        <v>0.37547453703703704</v>
      </c>
      <c r="B51" s="4" t="s">
        <v>9</v>
      </c>
      <c r="C51" s="4" t="s">
        <v>7</v>
      </c>
      <c r="D51" s="9">
        <v>26.65</v>
      </c>
      <c r="E51" s="9">
        <v>12</v>
      </c>
      <c r="F51" s="1">
        <f t="shared" si="0"/>
        <v>319.79999999999995</v>
      </c>
    </row>
    <row r="52" spans="1:6">
      <c r="A52" s="7">
        <v>0.3754513888888889</v>
      </c>
      <c r="B52" s="4" t="s">
        <v>9</v>
      </c>
      <c r="C52" s="4" t="s">
        <v>7</v>
      </c>
      <c r="D52" s="9">
        <v>26.65</v>
      </c>
      <c r="E52" s="9">
        <v>1</v>
      </c>
      <c r="F52" s="1">
        <f t="shared" si="0"/>
        <v>26.65</v>
      </c>
    </row>
    <row r="53" spans="1:6">
      <c r="A53" s="7">
        <v>0.37527777777777777</v>
      </c>
      <c r="B53" s="4" t="s">
        <v>9</v>
      </c>
      <c r="C53" s="4" t="s">
        <v>7</v>
      </c>
      <c r="D53" s="9">
        <v>26.63</v>
      </c>
      <c r="E53" s="9">
        <v>183</v>
      </c>
      <c r="F53" s="1">
        <f t="shared" si="0"/>
        <v>4873.29</v>
      </c>
    </row>
    <row r="54" spans="1:6">
      <c r="A54" s="7">
        <v>0.37489583333333332</v>
      </c>
      <c r="B54" s="4" t="s">
        <v>11</v>
      </c>
      <c r="C54" s="4" t="s">
        <v>8</v>
      </c>
      <c r="D54" s="9">
        <v>62.94</v>
      </c>
      <c r="E54" s="9">
        <v>55</v>
      </c>
      <c r="F54" s="1">
        <f t="shared" si="0"/>
        <v>-3461.7</v>
      </c>
    </row>
    <row r="55" spans="1:6">
      <c r="A55" s="7">
        <v>0.37489583333333332</v>
      </c>
      <c r="B55" s="4" t="s">
        <v>11</v>
      </c>
      <c r="C55" s="4" t="s">
        <v>8</v>
      </c>
      <c r="D55" s="9">
        <v>62.94</v>
      </c>
      <c r="E55" s="9">
        <v>5</v>
      </c>
      <c r="F55" s="1">
        <f t="shared" si="0"/>
        <v>-314.7</v>
      </c>
    </row>
    <row r="56" spans="1:6">
      <c r="A56" s="7">
        <v>0.37489583333333332</v>
      </c>
      <c r="B56" s="4" t="s">
        <v>11</v>
      </c>
      <c r="C56" s="4" t="s">
        <v>8</v>
      </c>
      <c r="D56" s="9">
        <v>62.94</v>
      </c>
      <c r="E56" s="9">
        <v>20</v>
      </c>
      <c r="F56" s="1">
        <f t="shared" si="0"/>
        <v>-1258.8</v>
      </c>
    </row>
    <row r="57" spans="1:6">
      <c r="A57" s="7">
        <v>0.37489583333333332</v>
      </c>
      <c r="B57" s="4" t="s">
        <v>11</v>
      </c>
      <c r="C57" s="4" t="s">
        <v>8</v>
      </c>
      <c r="D57" s="9">
        <v>62.94</v>
      </c>
      <c r="E57" s="9">
        <v>1</v>
      </c>
      <c r="F57" s="1">
        <f t="shared" si="0"/>
        <v>-62.94</v>
      </c>
    </row>
    <row r="58" spans="1:6">
      <c r="A58" s="7">
        <v>0.37489583333333332</v>
      </c>
      <c r="B58" s="4" t="s">
        <v>11</v>
      </c>
      <c r="C58" s="4" t="s">
        <v>8</v>
      </c>
      <c r="D58" s="9">
        <v>62.94</v>
      </c>
      <c r="E58" s="9">
        <v>2</v>
      </c>
      <c r="F58" s="1">
        <f t="shared" si="0"/>
        <v>-125.88</v>
      </c>
    </row>
    <row r="59" spans="1:6">
      <c r="A59" s="7">
        <v>0.37479166666666669</v>
      </c>
      <c r="B59" s="4" t="s">
        <v>9</v>
      </c>
      <c r="C59" s="4" t="s">
        <v>7</v>
      </c>
      <c r="D59" s="9">
        <v>26.63</v>
      </c>
      <c r="E59" s="9">
        <v>8</v>
      </c>
      <c r="F59" s="1">
        <f t="shared" si="0"/>
        <v>213.04</v>
      </c>
    </row>
    <row r="60" spans="1:6">
      <c r="A60" s="7">
        <v>0.37436342592592592</v>
      </c>
      <c r="B60" s="4" t="s">
        <v>9</v>
      </c>
      <c r="C60" s="4" t="s">
        <v>7</v>
      </c>
      <c r="D60" s="9">
        <v>26.63</v>
      </c>
      <c r="E60" s="9">
        <v>4</v>
      </c>
      <c r="F60" s="1">
        <f t="shared" si="0"/>
        <v>106.52</v>
      </c>
    </row>
    <row r="61" spans="1:6">
      <c r="A61" s="7">
        <v>0.37436342592592592</v>
      </c>
      <c r="B61" s="4" t="s">
        <v>9</v>
      </c>
      <c r="C61" s="4" t="s">
        <v>7</v>
      </c>
      <c r="D61" s="9">
        <v>26.63</v>
      </c>
      <c r="E61" s="9">
        <v>1</v>
      </c>
      <c r="F61" s="1">
        <f t="shared" si="0"/>
        <v>26.63</v>
      </c>
    </row>
    <row r="62" spans="1:6">
      <c r="A62" s="7">
        <v>0.37341435185185184</v>
      </c>
      <c r="B62" s="4" t="s">
        <v>9</v>
      </c>
      <c r="C62" s="4" t="s">
        <v>7</v>
      </c>
      <c r="D62" s="9">
        <v>26.63</v>
      </c>
      <c r="E62" s="9">
        <v>1</v>
      </c>
      <c r="F62" s="1">
        <f t="shared" si="0"/>
        <v>26.63</v>
      </c>
    </row>
    <row r="63" spans="1:6">
      <c r="A63" s="7">
        <v>0.37268518518518517</v>
      </c>
      <c r="B63" s="4" t="s">
        <v>9</v>
      </c>
      <c r="C63" s="4" t="s">
        <v>7</v>
      </c>
      <c r="D63" s="9">
        <v>26.63</v>
      </c>
      <c r="E63" s="9">
        <v>2</v>
      </c>
      <c r="F63" s="1">
        <f t="shared" si="0"/>
        <v>53.26</v>
      </c>
    </row>
    <row r="64" spans="1:6">
      <c r="A64" s="7">
        <v>0.37138888888888888</v>
      </c>
      <c r="B64" s="4" t="s">
        <v>9</v>
      </c>
      <c r="C64" s="4" t="s">
        <v>7</v>
      </c>
      <c r="D64" s="9">
        <v>26.63</v>
      </c>
      <c r="E64" s="9">
        <v>1</v>
      </c>
      <c r="F64" s="1">
        <f t="shared" si="0"/>
        <v>26.63</v>
      </c>
    </row>
    <row r="65" spans="1:6">
      <c r="A65" s="7">
        <v>0.36798611111111112</v>
      </c>
      <c r="B65" s="4" t="s">
        <v>11</v>
      </c>
      <c r="C65" s="4" t="s">
        <v>7</v>
      </c>
      <c r="D65" s="9">
        <v>62.98</v>
      </c>
      <c r="E65" s="9">
        <v>19</v>
      </c>
      <c r="F65" s="1">
        <f t="shared" si="0"/>
        <v>1196.6199999999999</v>
      </c>
    </row>
    <row r="66" spans="1:6">
      <c r="A66" s="7">
        <v>0.36798611111111112</v>
      </c>
      <c r="B66" s="4" t="s">
        <v>11</v>
      </c>
      <c r="C66" s="4" t="s">
        <v>7</v>
      </c>
      <c r="D66" s="9">
        <v>62.98</v>
      </c>
      <c r="E66" s="9">
        <v>64</v>
      </c>
      <c r="F66" s="1">
        <f t="shared" si="0"/>
        <v>4030.72</v>
      </c>
    </row>
    <row r="67" spans="1:6">
      <c r="A67" s="7">
        <v>0.36798611111111112</v>
      </c>
      <c r="B67" s="4" t="s">
        <v>11</v>
      </c>
      <c r="C67" s="4" t="s">
        <v>7</v>
      </c>
      <c r="D67" s="9">
        <v>62.98</v>
      </c>
      <c r="E67" s="9">
        <v>16</v>
      </c>
      <c r="F67" s="1">
        <f t="shared" si="0"/>
        <v>1007.68</v>
      </c>
    </row>
    <row r="68" spans="1:6">
      <c r="A68" s="7">
        <v>0.36578703703703702</v>
      </c>
      <c r="B68" s="4" t="s">
        <v>11</v>
      </c>
      <c r="C68" s="4" t="s">
        <v>7</v>
      </c>
      <c r="D68" s="9">
        <v>62.98</v>
      </c>
      <c r="E68" s="9">
        <v>10</v>
      </c>
      <c r="F68" s="1">
        <f t="shared" si="0"/>
        <v>629.79999999999995</v>
      </c>
    </row>
    <row r="69" spans="1:6">
      <c r="A69" s="7">
        <v>0.36577546296296298</v>
      </c>
      <c r="B69" s="4" t="s">
        <v>11</v>
      </c>
      <c r="C69" s="4" t="s">
        <v>7</v>
      </c>
      <c r="D69" s="9">
        <v>62.98</v>
      </c>
      <c r="E69" s="9">
        <v>1</v>
      </c>
      <c r="F69" s="1">
        <f t="shared" si="0"/>
        <v>62.98</v>
      </c>
    </row>
    <row r="70" spans="1:6">
      <c r="A70" s="7">
        <v>0.36576388888888889</v>
      </c>
      <c r="B70" s="4" t="s">
        <v>11</v>
      </c>
      <c r="C70" s="4" t="s">
        <v>7</v>
      </c>
      <c r="D70" s="9">
        <v>62.98</v>
      </c>
      <c r="E70" s="9">
        <v>10</v>
      </c>
      <c r="F70" s="1">
        <f t="shared" si="0"/>
        <v>629.79999999999995</v>
      </c>
    </row>
    <row r="71" spans="1:6">
      <c r="A71" s="7">
        <v>0.36574074074074076</v>
      </c>
      <c r="B71" s="4" t="s">
        <v>11</v>
      </c>
      <c r="C71" s="4" t="s">
        <v>7</v>
      </c>
      <c r="D71" s="9">
        <v>62.98</v>
      </c>
      <c r="E71" s="9">
        <v>10</v>
      </c>
      <c r="F71" s="1">
        <f t="shared" si="0"/>
        <v>629.79999999999995</v>
      </c>
    </row>
    <row r="72" spans="1:6">
      <c r="A72" s="7">
        <v>0.36574074074074076</v>
      </c>
      <c r="B72" s="4" t="s">
        <v>11</v>
      </c>
      <c r="C72" s="4" t="s">
        <v>7</v>
      </c>
      <c r="D72" s="9">
        <v>62.98</v>
      </c>
      <c r="E72" s="9">
        <v>1</v>
      </c>
      <c r="F72" s="1">
        <f t="shared" si="0"/>
        <v>62.98</v>
      </c>
    </row>
    <row r="73" spans="1:6">
      <c r="A73" s="7">
        <v>0.36570601851851853</v>
      </c>
      <c r="B73" s="4" t="s">
        <v>11</v>
      </c>
      <c r="C73" s="4" t="s">
        <v>7</v>
      </c>
      <c r="D73" s="9">
        <v>62.98</v>
      </c>
      <c r="E73" s="9">
        <v>10</v>
      </c>
      <c r="F73" s="1">
        <f t="shared" si="0"/>
        <v>629.79999999999995</v>
      </c>
    </row>
    <row r="74" spans="1:6">
      <c r="A74" s="7">
        <v>0.36569444444444443</v>
      </c>
      <c r="B74" s="4" t="s">
        <v>11</v>
      </c>
      <c r="C74" s="4" t="s">
        <v>7</v>
      </c>
      <c r="D74" s="9">
        <v>62.98</v>
      </c>
      <c r="E74" s="9">
        <v>1</v>
      </c>
      <c r="F74" s="1">
        <f t="shared" si="0"/>
        <v>62.98</v>
      </c>
    </row>
    <row r="75" spans="1:6">
      <c r="A75" s="7">
        <v>0.36560185185185184</v>
      </c>
      <c r="B75" s="4" t="s">
        <v>11</v>
      </c>
      <c r="C75" s="4" t="s">
        <v>7</v>
      </c>
      <c r="D75" s="9">
        <v>62.98</v>
      </c>
      <c r="E75" s="9">
        <v>1</v>
      </c>
      <c r="F75" s="1">
        <f t="shared" si="0"/>
        <v>62.98</v>
      </c>
    </row>
    <row r="76" spans="1:6">
      <c r="A76" s="7">
        <v>0.36163194444444446</v>
      </c>
      <c r="B76" s="4" t="s">
        <v>11</v>
      </c>
      <c r="C76" s="4" t="s">
        <v>7</v>
      </c>
      <c r="D76" s="9">
        <v>62.94</v>
      </c>
      <c r="E76" s="9">
        <v>5</v>
      </c>
      <c r="F76" s="1">
        <f t="shared" si="0"/>
        <v>314.7</v>
      </c>
    </row>
    <row r="77" spans="1:6">
      <c r="A77" s="7">
        <v>0.36163194444444446</v>
      </c>
      <c r="B77" s="4" t="s">
        <v>11</v>
      </c>
      <c r="C77" s="4" t="s">
        <v>7</v>
      </c>
      <c r="D77" s="9">
        <v>62.94</v>
      </c>
      <c r="E77" s="9">
        <v>35</v>
      </c>
      <c r="F77" s="1">
        <f t="shared" si="0"/>
        <v>2202.9</v>
      </c>
    </row>
    <row r="78" spans="1:6">
      <c r="A78" s="7">
        <v>0.35488425925925926</v>
      </c>
      <c r="B78" s="4" t="s">
        <v>9</v>
      </c>
      <c r="C78" s="4" t="s">
        <v>8</v>
      </c>
      <c r="D78" s="9">
        <v>26.61</v>
      </c>
      <c r="E78" s="9">
        <v>440</v>
      </c>
      <c r="F78" s="1">
        <f t="shared" si="0"/>
        <v>-11708.4</v>
      </c>
    </row>
    <row r="79" spans="1:6">
      <c r="A79" s="7">
        <v>0.35444444444444445</v>
      </c>
      <c r="B79" s="4" t="s">
        <v>9</v>
      </c>
      <c r="C79" s="4" t="s">
        <v>8</v>
      </c>
      <c r="D79" s="9">
        <v>26.61</v>
      </c>
      <c r="E79" s="9">
        <v>1</v>
      </c>
      <c r="F79" s="1">
        <f t="shared" si="0"/>
        <v>-26.61</v>
      </c>
    </row>
    <row r="80" spans="1:6">
      <c r="A80" s="7">
        <v>0.35443287037037036</v>
      </c>
      <c r="B80" s="4" t="s">
        <v>9</v>
      </c>
      <c r="C80" s="4" t="s">
        <v>8</v>
      </c>
      <c r="D80" s="9">
        <v>26.61</v>
      </c>
      <c r="E80" s="9">
        <v>2</v>
      </c>
      <c r="F80" s="1">
        <f t="shared" si="0"/>
        <v>-53.22</v>
      </c>
    </row>
    <row r="81" spans="1:6">
      <c r="A81" s="7">
        <v>0.35443287037037036</v>
      </c>
      <c r="B81" s="4" t="s">
        <v>9</v>
      </c>
      <c r="C81" s="4" t="s">
        <v>8</v>
      </c>
      <c r="D81" s="9">
        <v>26.61</v>
      </c>
      <c r="E81" s="9">
        <v>2</v>
      </c>
      <c r="F81" s="1">
        <f t="shared" si="0"/>
        <v>-53.22</v>
      </c>
    </row>
    <row r="82" spans="1:6">
      <c r="A82" s="7">
        <v>0.35443287037037036</v>
      </c>
      <c r="B82" s="4" t="s">
        <v>9</v>
      </c>
      <c r="C82" s="4" t="s">
        <v>8</v>
      </c>
      <c r="D82" s="9">
        <v>26.61</v>
      </c>
      <c r="E82" s="9">
        <v>1</v>
      </c>
      <c r="F82" s="1">
        <f t="shared" si="0"/>
        <v>-26.61</v>
      </c>
    </row>
    <row r="83" spans="1:6">
      <c r="A83" s="7">
        <v>0.35442129629629632</v>
      </c>
      <c r="B83" s="4" t="s">
        <v>9</v>
      </c>
      <c r="C83" s="4" t="s">
        <v>8</v>
      </c>
      <c r="D83" s="9">
        <v>26.61</v>
      </c>
      <c r="E83" s="9">
        <v>2</v>
      </c>
      <c r="F83" s="1">
        <f t="shared" si="0"/>
        <v>-53.22</v>
      </c>
    </row>
    <row r="84" spans="1:6">
      <c r="A84" s="7">
        <v>0.35442129629629632</v>
      </c>
      <c r="B84" s="4" t="s">
        <v>9</v>
      </c>
      <c r="C84" s="4" t="s">
        <v>8</v>
      </c>
      <c r="D84" s="9">
        <v>26.61</v>
      </c>
      <c r="E84" s="9">
        <v>1</v>
      </c>
      <c r="F84" s="1">
        <f t="shared" si="0"/>
        <v>-26.61</v>
      </c>
    </row>
    <row r="85" spans="1:6">
      <c r="A85" s="7">
        <v>0.35442129629629632</v>
      </c>
      <c r="B85" s="4" t="s">
        <v>9</v>
      </c>
      <c r="C85" s="4" t="s">
        <v>8</v>
      </c>
      <c r="D85" s="9">
        <v>26.61</v>
      </c>
      <c r="E85" s="9">
        <v>6</v>
      </c>
      <c r="F85" s="1">
        <f t="shared" si="0"/>
        <v>-159.66</v>
      </c>
    </row>
    <row r="86" spans="1:6">
      <c r="A86" s="7">
        <v>0.35380787037037037</v>
      </c>
      <c r="B86" s="4" t="s">
        <v>10</v>
      </c>
      <c r="C86" s="4" t="s">
        <v>7</v>
      </c>
      <c r="D86" s="9">
        <v>2.851</v>
      </c>
      <c r="E86" s="9">
        <v>1</v>
      </c>
      <c r="F86" s="1">
        <f t="shared" si="0"/>
        <v>2.851</v>
      </c>
    </row>
    <row r="87" spans="1:6">
      <c r="A87" s="7">
        <v>0.35150462962962964</v>
      </c>
      <c r="B87" s="4" t="s">
        <v>10</v>
      </c>
      <c r="C87" s="4" t="s">
        <v>7</v>
      </c>
      <c r="D87" s="9">
        <v>2.8450000000000002</v>
      </c>
      <c r="E87" s="9">
        <v>91</v>
      </c>
      <c r="F87" s="1">
        <f t="shared" si="0"/>
        <v>258.89500000000004</v>
      </c>
    </row>
    <row r="88" spans="1:6">
      <c r="A88" s="7">
        <v>0.35145833333333332</v>
      </c>
      <c r="B88" s="4" t="s">
        <v>10</v>
      </c>
      <c r="C88" s="4" t="s">
        <v>7</v>
      </c>
      <c r="D88" s="9">
        <v>2.8450000000000002</v>
      </c>
      <c r="E88" s="9">
        <v>5</v>
      </c>
      <c r="F88" s="1">
        <f t="shared" si="0"/>
        <v>14.225000000000001</v>
      </c>
    </row>
    <row r="89" spans="1:6">
      <c r="A89" s="7">
        <v>0.35144675925925928</v>
      </c>
      <c r="B89" s="4" t="s">
        <v>10</v>
      </c>
      <c r="C89" s="4" t="s">
        <v>7</v>
      </c>
      <c r="D89" s="9">
        <v>2.8450000000000002</v>
      </c>
      <c r="E89" s="9">
        <v>1</v>
      </c>
      <c r="F89" s="1">
        <f t="shared" si="0"/>
        <v>2.8450000000000002</v>
      </c>
    </row>
    <row r="90" spans="1:6">
      <c r="A90" s="7">
        <v>0.35138888888888886</v>
      </c>
      <c r="B90" s="4" t="s">
        <v>10</v>
      </c>
      <c r="C90" s="4" t="s">
        <v>7</v>
      </c>
      <c r="D90" s="9">
        <v>2.8450000000000002</v>
      </c>
      <c r="E90" s="9">
        <v>1</v>
      </c>
      <c r="F90" s="1">
        <f t="shared" si="0"/>
        <v>2.8450000000000002</v>
      </c>
    </row>
    <row r="91" spans="1:6">
      <c r="A91" s="7">
        <v>0.35130787037037037</v>
      </c>
      <c r="B91" s="4" t="s">
        <v>10</v>
      </c>
      <c r="C91" s="4" t="s">
        <v>7</v>
      </c>
      <c r="D91" s="9">
        <v>2.8450000000000002</v>
      </c>
      <c r="E91" s="9">
        <v>2</v>
      </c>
      <c r="F91" s="1">
        <f t="shared" si="0"/>
        <v>5.69</v>
      </c>
    </row>
    <row r="92" spans="1:6">
      <c r="A92" s="7">
        <v>0.34957175925925926</v>
      </c>
      <c r="B92" s="4" t="s">
        <v>10</v>
      </c>
      <c r="C92" s="4" t="s">
        <v>7</v>
      </c>
      <c r="D92" s="9">
        <v>2.8410000000000002</v>
      </c>
      <c r="E92" s="9">
        <v>10</v>
      </c>
      <c r="F92" s="1">
        <f t="shared" si="0"/>
        <v>28.410000000000004</v>
      </c>
    </row>
    <row r="93" spans="1:6">
      <c r="A93" s="7">
        <v>0.34243055555555557</v>
      </c>
      <c r="B93" s="4" t="s">
        <v>9</v>
      </c>
      <c r="C93" s="4" t="s">
        <v>7</v>
      </c>
      <c r="D93" s="9">
        <v>26.67</v>
      </c>
      <c r="E93" s="9">
        <v>42</v>
      </c>
      <c r="F93" s="1">
        <f t="shared" si="0"/>
        <v>1120.1400000000001</v>
      </c>
    </row>
    <row r="94" spans="1:6">
      <c r="A94" s="7">
        <v>0.34243055555555557</v>
      </c>
      <c r="B94" s="4" t="s">
        <v>9</v>
      </c>
      <c r="C94" s="4" t="s">
        <v>7</v>
      </c>
      <c r="D94" s="9">
        <v>26.67</v>
      </c>
      <c r="E94" s="9">
        <v>17</v>
      </c>
      <c r="F94" s="1">
        <f t="shared" si="0"/>
        <v>453.39000000000004</v>
      </c>
    </row>
    <row r="95" spans="1:6">
      <c r="A95" s="7">
        <v>0.34243055555555557</v>
      </c>
      <c r="B95" s="4" t="s">
        <v>9</v>
      </c>
      <c r="C95" s="4" t="s">
        <v>7</v>
      </c>
      <c r="D95" s="9">
        <v>26.67</v>
      </c>
      <c r="E95" s="9">
        <v>1</v>
      </c>
      <c r="F95" s="1">
        <f t="shared" si="0"/>
        <v>26.67</v>
      </c>
    </row>
    <row r="96" spans="1:6">
      <c r="A96" s="7">
        <v>0.34243055555555557</v>
      </c>
      <c r="B96" s="4" t="s">
        <v>9</v>
      </c>
      <c r="C96" s="4" t="s">
        <v>7</v>
      </c>
      <c r="D96" s="9">
        <v>26.67</v>
      </c>
      <c r="E96" s="9">
        <v>2</v>
      </c>
      <c r="F96" s="1">
        <f t="shared" si="0"/>
        <v>53.34</v>
      </c>
    </row>
    <row r="97" spans="1:6">
      <c r="A97" s="7">
        <v>0.34243055555555557</v>
      </c>
      <c r="B97" s="4" t="s">
        <v>9</v>
      </c>
      <c r="C97" s="4" t="s">
        <v>7</v>
      </c>
      <c r="D97" s="9">
        <v>26.67</v>
      </c>
      <c r="E97" s="9">
        <v>2</v>
      </c>
      <c r="F97" s="1">
        <f t="shared" si="0"/>
        <v>53.34</v>
      </c>
    </row>
    <row r="98" spans="1:6">
      <c r="A98" s="7">
        <v>0.32351851851851854</v>
      </c>
      <c r="B98" s="4" t="s">
        <v>9</v>
      </c>
      <c r="C98" s="4" t="s">
        <v>8</v>
      </c>
      <c r="D98" s="9">
        <v>26.65</v>
      </c>
      <c r="E98" s="9">
        <v>3</v>
      </c>
      <c r="F98" s="1">
        <f t="shared" si="0"/>
        <v>-79.949999999999989</v>
      </c>
    </row>
    <row r="99" spans="1:6">
      <c r="A99" s="7">
        <v>0.32348379629629631</v>
      </c>
      <c r="B99" s="4" t="s">
        <v>9</v>
      </c>
      <c r="C99" s="4" t="s">
        <v>8</v>
      </c>
      <c r="D99" s="9">
        <v>26.65</v>
      </c>
      <c r="E99" s="9">
        <v>1</v>
      </c>
      <c r="F99" s="1">
        <f t="shared" si="0"/>
        <v>-26.65</v>
      </c>
    </row>
    <row r="100" spans="1:6">
      <c r="A100" s="7">
        <v>0.32343749999999999</v>
      </c>
      <c r="B100" s="4" t="s">
        <v>9</v>
      </c>
      <c r="C100" s="4" t="s">
        <v>8</v>
      </c>
      <c r="D100" s="9">
        <v>26.65</v>
      </c>
      <c r="E100" s="9">
        <v>25</v>
      </c>
      <c r="F100" s="1">
        <f t="shared" si="0"/>
        <v>-666.25</v>
      </c>
    </row>
    <row r="101" spans="1:6">
      <c r="A101" s="7">
        <v>0.32341435185185186</v>
      </c>
      <c r="B101" s="4" t="s">
        <v>9</v>
      </c>
      <c r="C101" s="4" t="s">
        <v>8</v>
      </c>
      <c r="D101" s="9">
        <v>26.65</v>
      </c>
      <c r="E101" s="9">
        <v>10</v>
      </c>
      <c r="F101" s="1">
        <f t="shared" si="0"/>
        <v>-266.5</v>
      </c>
    </row>
    <row r="102" spans="1:6">
      <c r="A102" s="7">
        <v>0.32341435185185186</v>
      </c>
      <c r="B102" s="4" t="s">
        <v>9</v>
      </c>
      <c r="C102" s="4" t="s">
        <v>8</v>
      </c>
      <c r="D102" s="9">
        <v>26.65</v>
      </c>
      <c r="E102" s="9">
        <v>1</v>
      </c>
      <c r="F102" s="1">
        <f t="shared" si="0"/>
        <v>-26.65</v>
      </c>
    </row>
    <row r="103" spans="1:6">
      <c r="A103" s="7">
        <v>0.32340277777777776</v>
      </c>
      <c r="B103" s="4" t="s">
        <v>9</v>
      </c>
      <c r="C103" s="4" t="s">
        <v>8</v>
      </c>
      <c r="D103" s="9">
        <v>26.65</v>
      </c>
      <c r="E103" s="9">
        <v>2</v>
      </c>
      <c r="F103" s="1">
        <f t="shared" si="0"/>
        <v>-53.3</v>
      </c>
    </row>
    <row r="104" spans="1:6">
      <c r="A104" s="7">
        <v>0.32340277777777776</v>
      </c>
      <c r="B104" s="4" t="s">
        <v>9</v>
      </c>
      <c r="C104" s="4" t="s">
        <v>8</v>
      </c>
      <c r="D104" s="9">
        <v>26.65</v>
      </c>
      <c r="E104" s="9">
        <v>1</v>
      </c>
      <c r="F104" s="1">
        <f t="shared" si="0"/>
        <v>-26.65</v>
      </c>
    </row>
    <row r="105" spans="1:6">
      <c r="A105" s="7">
        <v>0.32340277777777776</v>
      </c>
      <c r="B105" s="4" t="s">
        <v>9</v>
      </c>
      <c r="C105" s="4" t="s">
        <v>8</v>
      </c>
      <c r="D105" s="9">
        <v>26.65</v>
      </c>
      <c r="E105" s="9">
        <v>21</v>
      </c>
      <c r="F105" s="1">
        <f t="shared" si="0"/>
        <v>-559.65</v>
      </c>
    </row>
    <row r="106" spans="1:6">
      <c r="A106" s="7">
        <v>0.30734953703703705</v>
      </c>
      <c r="B106" s="4" t="s">
        <v>12</v>
      </c>
      <c r="C106" s="4" t="s">
        <v>7</v>
      </c>
      <c r="D106" s="9">
        <v>62.48</v>
      </c>
      <c r="E106" s="9">
        <v>1</v>
      </c>
      <c r="F106" s="1">
        <f t="shared" si="0"/>
        <v>62.48</v>
      </c>
    </row>
    <row r="107" spans="1:6">
      <c r="A107" s="7">
        <v>0.30625000000000002</v>
      </c>
      <c r="B107" s="4" t="s">
        <v>10</v>
      </c>
      <c r="C107" s="4" t="s">
        <v>8</v>
      </c>
      <c r="D107" s="9">
        <v>2.8370000000000002</v>
      </c>
      <c r="E107" s="9">
        <v>10</v>
      </c>
      <c r="F107" s="1">
        <f t="shared" si="0"/>
        <v>-28.37</v>
      </c>
    </row>
    <row r="108" spans="1:6">
      <c r="A108" s="7">
        <v>0.30449074074074073</v>
      </c>
      <c r="B108" s="4" t="s">
        <v>11</v>
      </c>
      <c r="C108" s="4" t="s">
        <v>7</v>
      </c>
      <c r="D108" s="9">
        <v>63.01</v>
      </c>
      <c r="E108" s="9">
        <v>64</v>
      </c>
      <c r="F108" s="1">
        <f t="shared" si="0"/>
        <v>4032.64</v>
      </c>
    </row>
    <row r="109" spans="1:6">
      <c r="A109" s="7">
        <v>0.3043865740740741</v>
      </c>
      <c r="B109" s="4" t="s">
        <v>11</v>
      </c>
      <c r="C109" s="4" t="s">
        <v>7</v>
      </c>
      <c r="D109" s="9">
        <v>63.01</v>
      </c>
      <c r="E109" s="9">
        <v>1</v>
      </c>
      <c r="F109" s="1">
        <f t="shared" si="0"/>
        <v>63.01</v>
      </c>
    </row>
    <row r="110" spans="1:6">
      <c r="A110" s="7">
        <v>0.30429398148148146</v>
      </c>
      <c r="B110" s="4" t="s">
        <v>11</v>
      </c>
      <c r="C110" s="4" t="s">
        <v>7</v>
      </c>
      <c r="D110" s="9">
        <v>63.01</v>
      </c>
      <c r="E110" s="9">
        <v>5</v>
      </c>
      <c r="F110" s="1">
        <f t="shared" si="0"/>
        <v>315.05</v>
      </c>
    </row>
    <row r="111" spans="1:6">
      <c r="A111" s="7">
        <v>0.30428240740740742</v>
      </c>
      <c r="B111" s="4" t="s">
        <v>11</v>
      </c>
      <c r="C111" s="4" t="s">
        <v>7</v>
      </c>
      <c r="D111" s="9">
        <v>63.01</v>
      </c>
      <c r="E111" s="9">
        <v>1</v>
      </c>
      <c r="F111" s="1">
        <f t="shared" si="0"/>
        <v>63.01</v>
      </c>
    </row>
    <row r="112" spans="1:6">
      <c r="A112" s="7">
        <v>0.30428240740740742</v>
      </c>
      <c r="B112" s="4" t="s">
        <v>11</v>
      </c>
      <c r="C112" s="4" t="s">
        <v>7</v>
      </c>
      <c r="D112" s="9">
        <v>63.01</v>
      </c>
      <c r="E112" s="9">
        <v>2</v>
      </c>
      <c r="F112" s="1">
        <f t="shared" si="0"/>
        <v>126.02</v>
      </c>
    </row>
    <row r="113" spans="1:6">
      <c r="A113" s="7">
        <v>0.30428240740740742</v>
      </c>
      <c r="B113" s="4" t="s">
        <v>11</v>
      </c>
      <c r="C113" s="4" t="s">
        <v>7</v>
      </c>
      <c r="D113" s="9">
        <v>63.01</v>
      </c>
      <c r="E113" s="9">
        <v>3</v>
      </c>
      <c r="F113" s="1">
        <f t="shared" si="0"/>
        <v>189.03</v>
      </c>
    </row>
    <row r="114" spans="1:6">
      <c r="A114" s="7">
        <v>0.30428240740740742</v>
      </c>
      <c r="B114" s="4" t="s">
        <v>11</v>
      </c>
      <c r="C114" s="4" t="s">
        <v>7</v>
      </c>
      <c r="D114" s="9">
        <v>63.01</v>
      </c>
      <c r="E114" s="9">
        <v>1</v>
      </c>
      <c r="F114" s="1">
        <f t="shared" si="0"/>
        <v>63.01</v>
      </c>
    </row>
    <row r="115" spans="1:6">
      <c r="A115" s="7">
        <v>0.30428240740740742</v>
      </c>
      <c r="B115" s="4" t="s">
        <v>11</v>
      </c>
      <c r="C115" s="4" t="s">
        <v>7</v>
      </c>
      <c r="D115" s="9">
        <v>63.01</v>
      </c>
      <c r="E115" s="9">
        <v>3</v>
      </c>
      <c r="F115" s="1">
        <f t="shared" si="0"/>
        <v>189.03</v>
      </c>
    </row>
    <row r="116" spans="1:6">
      <c r="A116" s="7">
        <v>0.30428240740740742</v>
      </c>
      <c r="B116" s="4" t="s">
        <v>11</v>
      </c>
      <c r="C116" s="4" t="s">
        <v>7</v>
      </c>
      <c r="D116" s="9">
        <v>63.01</v>
      </c>
      <c r="E116" s="9">
        <v>2</v>
      </c>
      <c r="F116" s="1">
        <f t="shared" si="0"/>
        <v>126.02</v>
      </c>
    </row>
    <row r="117" spans="1:6">
      <c r="A117" s="7">
        <v>0.30428240740740742</v>
      </c>
      <c r="B117" s="4" t="s">
        <v>11</v>
      </c>
      <c r="C117" s="4" t="s">
        <v>7</v>
      </c>
      <c r="D117" s="9">
        <v>63.01</v>
      </c>
      <c r="E117" s="9">
        <v>1</v>
      </c>
      <c r="F117" s="1">
        <f t="shared" si="0"/>
        <v>63.01</v>
      </c>
    </row>
    <row r="118" spans="1:6">
      <c r="A118" s="7">
        <v>0.30428240740740742</v>
      </c>
      <c r="B118" s="4" t="s">
        <v>11</v>
      </c>
      <c r="C118" s="4" t="s">
        <v>7</v>
      </c>
      <c r="D118" s="9">
        <v>63.01</v>
      </c>
      <c r="E118" s="9">
        <v>8</v>
      </c>
      <c r="F118" s="1">
        <f t="shared" si="0"/>
        <v>504.08</v>
      </c>
    </row>
    <row r="119" spans="1:6">
      <c r="A119" s="7">
        <v>0.29234953703703703</v>
      </c>
      <c r="B119" s="4" t="s">
        <v>11</v>
      </c>
      <c r="C119" s="4" t="s">
        <v>8</v>
      </c>
      <c r="D119" s="9">
        <v>62.97</v>
      </c>
      <c r="E119" s="9">
        <v>2</v>
      </c>
      <c r="F119" s="1">
        <f t="shared" si="0"/>
        <v>-125.94</v>
      </c>
    </row>
    <row r="120" spans="1:6">
      <c r="A120" s="7">
        <v>0.29234953703703703</v>
      </c>
      <c r="B120" s="4" t="s">
        <v>11</v>
      </c>
      <c r="C120" s="4" t="s">
        <v>8</v>
      </c>
      <c r="D120" s="9">
        <v>62.97</v>
      </c>
      <c r="E120" s="9">
        <v>30</v>
      </c>
      <c r="F120" s="1">
        <f t="shared" si="0"/>
        <v>-1889.1</v>
      </c>
    </row>
    <row r="121" spans="1:6">
      <c r="A121" s="7">
        <v>0.29233796296296294</v>
      </c>
      <c r="B121" s="4" t="s">
        <v>11</v>
      </c>
      <c r="C121" s="4" t="s">
        <v>8</v>
      </c>
      <c r="D121" s="9">
        <v>62.97</v>
      </c>
      <c r="E121" s="9">
        <v>2</v>
      </c>
      <c r="F121" s="1">
        <f t="shared" si="0"/>
        <v>-125.94</v>
      </c>
    </row>
    <row r="122" spans="1:6">
      <c r="A122" s="7">
        <v>0.29231481481481481</v>
      </c>
      <c r="B122" s="4" t="s">
        <v>12</v>
      </c>
      <c r="C122" s="4" t="s">
        <v>8</v>
      </c>
      <c r="D122" s="9">
        <v>62.4</v>
      </c>
      <c r="E122" s="9">
        <v>1</v>
      </c>
      <c r="F122" s="1">
        <f t="shared" si="0"/>
        <v>-62.4</v>
      </c>
    </row>
    <row r="123" spans="1:6">
      <c r="A123" s="7">
        <v>0.29230324074074077</v>
      </c>
      <c r="B123" s="4" t="s">
        <v>11</v>
      </c>
      <c r="C123" s="4" t="s">
        <v>8</v>
      </c>
      <c r="D123" s="9">
        <v>62.97</v>
      </c>
      <c r="E123" s="9">
        <v>8</v>
      </c>
      <c r="F123" s="1">
        <f t="shared" si="0"/>
        <v>-503.76</v>
      </c>
    </row>
    <row r="124" spans="1:6">
      <c r="A124" s="7">
        <v>0.29226851851851854</v>
      </c>
      <c r="B124" s="4" t="s">
        <v>10</v>
      </c>
      <c r="C124" s="4" t="s">
        <v>8</v>
      </c>
      <c r="D124" s="9">
        <v>2.8290000000000002</v>
      </c>
      <c r="E124" s="9">
        <v>100</v>
      </c>
      <c r="F124" s="1">
        <f t="shared" si="0"/>
        <v>-282.90000000000003</v>
      </c>
    </row>
    <row r="125" spans="1:6">
      <c r="A125" s="7">
        <v>0.29215277777777776</v>
      </c>
      <c r="B125" s="4" t="s">
        <v>11</v>
      </c>
      <c r="C125" s="4" t="s">
        <v>8</v>
      </c>
      <c r="D125" s="9">
        <v>62.97</v>
      </c>
      <c r="E125" s="9">
        <v>1</v>
      </c>
      <c r="F125" s="1">
        <f t="shared" si="0"/>
        <v>-62.97</v>
      </c>
    </row>
    <row r="126" spans="1:6">
      <c r="A126" s="7">
        <v>0.29215277777777776</v>
      </c>
      <c r="B126" s="4" t="s">
        <v>11</v>
      </c>
      <c r="C126" s="4" t="s">
        <v>8</v>
      </c>
      <c r="D126" s="9">
        <v>62.97</v>
      </c>
      <c r="E126" s="9">
        <v>1</v>
      </c>
      <c r="F126" s="1">
        <f t="shared" si="0"/>
        <v>-62.97</v>
      </c>
    </row>
    <row r="127" spans="1:6">
      <c r="A127" s="7">
        <v>0.29214120370370372</v>
      </c>
      <c r="B127" s="4" t="s">
        <v>11</v>
      </c>
      <c r="C127" s="4" t="s">
        <v>8</v>
      </c>
      <c r="D127" s="9">
        <v>62.97</v>
      </c>
      <c r="E127" s="9">
        <v>2</v>
      </c>
      <c r="F127" s="1">
        <f t="shared" si="0"/>
        <v>-125.94</v>
      </c>
    </row>
    <row r="128" spans="1:6">
      <c r="A128" s="7">
        <v>0.2920949074074074</v>
      </c>
      <c r="B128" s="4" t="s">
        <v>11</v>
      </c>
      <c r="C128" s="4" t="s">
        <v>8</v>
      </c>
      <c r="D128" s="9">
        <v>62.97</v>
      </c>
      <c r="E128" s="9">
        <v>100</v>
      </c>
      <c r="F128" s="1">
        <f t="shared" si="0"/>
        <v>-6297</v>
      </c>
    </row>
    <row r="129" spans="1:6">
      <c r="A129" s="7">
        <v>0.29208333333333331</v>
      </c>
      <c r="B129" s="4" t="s">
        <v>11</v>
      </c>
      <c r="C129" s="4" t="s">
        <v>8</v>
      </c>
      <c r="D129" s="9">
        <v>62.97</v>
      </c>
      <c r="E129" s="9">
        <v>5</v>
      </c>
      <c r="F129" s="1">
        <f t="shared" si="0"/>
        <v>-314.85000000000002</v>
      </c>
    </row>
    <row r="130" spans="1:6">
      <c r="A130" s="7">
        <v>0.29207175925925927</v>
      </c>
      <c r="B130" s="4" t="s">
        <v>11</v>
      </c>
      <c r="C130" s="4" t="s">
        <v>8</v>
      </c>
      <c r="D130" s="9">
        <v>62.97</v>
      </c>
      <c r="E130" s="9">
        <v>5</v>
      </c>
      <c r="F130" s="1">
        <f t="shared" si="0"/>
        <v>-314.85000000000002</v>
      </c>
    </row>
    <row r="131" spans="1:6">
      <c r="A131" s="7">
        <v>0.29207175925925927</v>
      </c>
      <c r="B131" s="4" t="s">
        <v>6</v>
      </c>
      <c r="C131" s="4" t="s">
        <v>8</v>
      </c>
      <c r="D131" s="9">
        <v>1735.3</v>
      </c>
      <c r="E131" s="9">
        <v>200</v>
      </c>
      <c r="F131" s="1">
        <f t="shared" si="0"/>
        <v>-347060</v>
      </c>
    </row>
    <row r="132" spans="1:6">
      <c r="A132" s="7">
        <v>0.29203703703703704</v>
      </c>
      <c r="B132" s="4" t="s">
        <v>11</v>
      </c>
      <c r="C132" s="4" t="s">
        <v>8</v>
      </c>
      <c r="D132" s="9">
        <v>62.97</v>
      </c>
      <c r="E132" s="9">
        <v>5</v>
      </c>
      <c r="F132" s="1">
        <f t="shared" si="0"/>
        <v>-314.85000000000002</v>
      </c>
    </row>
    <row r="133" spans="1:6">
      <c r="A133" s="7">
        <v>0.29202546296296295</v>
      </c>
      <c r="B133" s="4" t="s">
        <v>11</v>
      </c>
      <c r="C133" s="4" t="s">
        <v>8</v>
      </c>
      <c r="D133" s="9">
        <v>62.97</v>
      </c>
      <c r="E133" s="9">
        <v>1</v>
      </c>
      <c r="F133" s="1">
        <f t="shared" si="0"/>
        <v>-62.97</v>
      </c>
    </row>
    <row r="134" spans="1:6">
      <c r="A134" s="7">
        <v>0.29201388888888891</v>
      </c>
      <c r="B134" s="4" t="s">
        <v>11</v>
      </c>
      <c r="C134" s="4" t="s">
        <v>8</v>
      </c>
      <c r="D134" s="9">
        <v>62.97</v>
      </c>
      <c r="E134" s="9">
        <v>2</v>
      </c>
      <c r="F134" s="1">
        <f t="shared" si="0"/>
        <v>-125.94</v>
      </c>
    </row>
    <row r="135" spans="1:6">
      <c r="A135" s="7">
        <v>0.29201388888888891</v>
      </c>
      <c r="B135" s="4" t="s">
        <v>11</v>
      </c>
      <c r="C135" s="4" t="s">
        <v>8</v>
      </c>
      <c r="D135" s="9">
        <v>62.97</v>
      </c>
      <c r="E135" s="9">
        <v>1</v>
      </c>
      <c r="F135" s="1">
        <f t="shared" si="0"/>
        <v>-62.97</v>
      </c>
    </row>
    <row r="136" spans="1:6">
      <c r="A136" s="7">
        <v>0.29200231481481481</v>
      </c>
      <c r="B136" s="4" t="s">
        <v>11</v>
      </c>
      <c r="C136" s="4" t="s">
        <v>8</v>
      </c>
      <c r="D136" s="9">
        <v>62.97</v>
      </c>
      <c r="E136" s="9">
        <v>4</v>
      </c>
      <c r="F136" s="1">
        <f t="shared" si="0"/>
        <v>-251.88</v>
      </c>
    </row>
    <row r="137" spans="1:6">
      <c r="A137" s="7">
        <v>0.29199074074074072</v>
      </c>
      <c r="B137" s="4" t="s">
        <v>11</v>
      </c>
      <c r="C137" s="4" t="s">
        <v>8</v>
      </c>
      <c r="D137" s="9">
        <v>62.97</v>
      </c>
      <c r="E137" s="9">
        <v>2</v>
      </c>
      <c r="F137" s="1">
        <f t="shared" si="0"/>
        <v>-125.94</v>
      </c>
    </row>
    <row r="138" spans="1:6">
      <c r="A138" s="7">
        <v>0.29196759259259258</v>
      </c>
      <c r="B138" s="4" t="s">
        <v>11</v>
      </c>
      <c r="C138" s="4" t="s">
        <v>8</v>
      </c>
      <c r="D138" s="9">
        <v>62.97</v>
      </c>
      <c r="E138" s="9">
        <v>20</v>
      </c>
      <c r="F138" s="1">
        <f t="shared" si="0"/>
        <v>-1259.4000000000001</v>
      </c>
    </row>
    <row r="139" spans="1:6">
      <c r="D139" s="10"/>
      <c r="E139" s="10"/>
      <c r="F139" s="3">
        <f>SUM(F2:F138)</f>
        <v>-654.85399999992228</v>
      </c>
    </row>
    <row r="140" spans="1:6">
      <c r="D140" s="10"/>
      <c r="E140" s="10"/>
      <c r="F140" s="11"/>
    </row>
    <row r="141" spans="1:6">
      <c r="D141" s="10"/>
      <c r="E141" s="10"/>
      <c r="F141" s="11"/>
    </row>
    <row r="142" spans="1:6">
      <c r="D142" s="10"/>
      <c r="E142" s="10"/>
      <c r="F142" s="11"/>
    </row>
    <row r="143" spans="1:6">
      <c r="D143" s="10"/>
      <c r="E143" s="10"/>
      <c r="F143" s="11"/>
    </row>
    <row r="144" spans="1:6">
      <c r="D144" s="10"/>
      <c r="E144" s="10"/>
      <c r="F144" s="11"/>
    </row>
    <row r="145" spans="4:6">
      <c r="D145" s="10"/>
      <c r="E145" s="10"/>
      <c r="F145" s="11"/>
    </row>
    <row r="146" spans="4:6">
      <c r="D146" s="10"/>
      <c r="E146" s="10"/>
      <c r="F146" s="11"/>
    </row>
    <row r="147" spans="4:6">
      <c r="D147" s="10"/>
      <c r="E147" s="10"/>
      <c r="F147" s="11"/>
    </row>
    <row r="148" spans="4:6">
      <c r="D148" s="10"/>
      <c r="E148" s="10"/>
      <c r="F148" s="11"/>
    </row>
    <row r="149" spans="4:6">
      <c r="D149" s="10"/>
      <c r="E149" s="10"/>
      <c r="F149" s="11"/>
    </row>
    <row r="150" spans="4:6">
      <c r="D150" s="10"/>
      <c r="E150" s="10"/>
      <c r="F150" s="11"/>
    </row>
    <row r="151" spans="4:6">
      <c r="D151" s="10"/>
      <c r="E151" s="10"/>
      <c r="F151" s="11"/>
    </row>
    <row r="152" spans="4:6">
      <c r="D152" s="10"/>
      <c r="E152" s="10"/>
      <c r="F152" s="11"/>
    </row>
    <row r="153" spans="4:6">
      <c r="D153" s="10"/>
      <c r="E153" s="10"/>
      <c r="F153" s="11"/>
    </row>
    <row r="154" spans="4:6">
      <c r="D154" s="10"/>
      <c r="E154" s="10"/>
      <c r="F154" s="11"/>
    </row>
    <row r="155" spans="4:6">
      <c r="D155" s="10"/>
      <c r="E155" s="10"/>
      <c r="F155" s="11"/>
    </row>
    <row r="156" spans="4:6">
      <c r="D156" s="10"/>
      <c r="E156" s="10"/>
      <c r="F156" s="11"/>
    </row>
    <row r="157" spans="4:6">
      <c r="D157" s="10"/>
      <c r="E157" s="10"/>
      <c r="F157" s="11"/>
    </row>
    <row r="158" spans="4:6">
      <c r="D158" s="10"/>
      <c r="E158" s="10"/>
      <c r="F158" s="11"/>
    </row>
    <row r="159" spans="4:6">
      <c r="D159" s="10"/>
      <c r="E159" s="10"/>
      <c r="F159" s="11"/>
    </row>
    <row r="160" spans="4:6">
      <c r="D160" s="10"/>
      <c r="E160" s="10"/>
      <c r="F160" s="11"/>
    </row>
    <row r="161" spans="4:6">
      <c r="D161" s="10"/>
      <c r="E161" s="10"/>
      <c r="F161" s="11"/>
    </row>
    <row r="162" spans="4:6">
      <c r="D162" s="10"/>
      <c r="E162" s="10"/>
      <c r="F162" s="11"/>
    </row>
    <row r="163" spans="4:6">
      <c r="D163" s="10"/>
      <c r="E163" s="10"/>
      <c r="F163" s="11"/>
    </row>
    <row r="164" spans="4:6">
      <c r="D164" s="10"/>
      <c r="E164" s="10"/>
      <c r="F164" s="11"/>
    </row>
    <row r="165" spans="4:6">
      <c r="D165" s="10"/>
      <c r="E165" s="10"/>
      <c r="F165" s="11"/>
    </row>
    <row r="166" spans="4:6">
      <c r="D166" s="10"/>
      <c r="E166" s="10"/>
      <c r="F166" s="11"/>
    </row>
    <row r="167" spans="4:6">
      <c r="D167" s="10"/>
      <c r="E167" s="10"/>
      <c r="F167" s="11"/>
    </row>
    <row r="168" spans="4:6">
      <c r="D168" s="10"/>
      <c r="E168" s="10"/>
      <c r="F168" s="11"/>
    </row>
    <row r="169" spans="4:6">
      <c r="D169" s="10"/>
      <c r="E169" s="10"/>
      <c r="F169" s="11"/>
    </row>
    <row r="170" spans="4:6">
      <c r="D170" s="10"/>
      <c r="E170" s="10"/>
      <c r="F170" s="11"/>
    </row>
    <row r="171" spans="4:6">
      <c r="D171" s="10"/>
      <c r="E171" s="10"/>
      <c r="F171" s="11"/>
    </row>
    <row r="172" spans="4:6">
      <c r="D172" s="10"/>
      <c r="E172" s="10"/>
      <c r="F172" s="11"/>
    </row>
    <row r="173" spans="4:6">
      <c r="D173" s="10"/>
      <c r="E173" s="10"/>
      <c r="F173" s="11"/>
    </row>
    <row r="174" spans="4:6">
      <c r="D174" s="10"/>
      <c r="E174" s="10"/>
      <c r="F174" s="11"/>
    </row>
    <row r="175" spans="4:6">
      <c r="D175" s="10"/>
      <c r="E175" s="10"/>
      <c r="F175" s="11"/>
    </row>
    <row r="176" spans="4:6">
      <c r="D176" s="10"/>
      <c r="E176" s="10"/>
      <c r="F176" s="11"/>
    </row>
    <row r="177" spans="4:6">
      <c r="D177" s="10"/>
      <c r="E177" s="10"/>
      <c r="F177" s="11"/>
    </row>
    <row r="178" spans="4:6">
      <c r="D178" s="10"/>
      <c r="E178" s="10"/>
      <c r="F178" s="11"/>
    </row>
    <row r="179" spans="4:6">
      <c r="D179" s="10"/>
      <c r="E179" s="10"/>
      <c r="F179" s="11"/>
    </row>
    <row r="180" spans="4:6">
      <c r="D180" s="10"/>
      <c r="E180" s="10"/>
      <c r="F180" s="11"/>
    </row>
    <row r="181" spans="4:6">
      <c r="D181" s="10"/>
      <c r="E181" s="10"/>
      <c r="F181" s="11"/>
    </row>
    <row r="182" spans="4:6">
      <c r="D182" s="10"/>
      <c r="E182" s="10"/>
      <c r="F182" s="11"/>
    </row>
    <row r="183" spans="4:6">
      <c r="D183" s="10"/>
      <c r="E183" s="10"/>
      <c r="F183" s="11"/>
    </row>
    <row r="184" spans="4:6">
      <c r="D184" s="10"/>
      <c r="E184" s="10"/>
      <c r="F184" s="11"/>
    </row>
    <row r="185" spans="4:6">
      <c r="D185" s="10"/>
      <c r="E185" s="10"/>
      <c r="F185" s="11"/>
    </row>
    <row r="186" spans="4:6">
      <c r="D186" s="10"/>
      <c r="E186" s="10"/>
      <c r="F186" s="11"/>
    </row>
    <row r="187" spans="4:6">
      <c r="D187" s="10"/>
      <c r="E187" s="10"/>
      <c r="F187" s="11"/>
    </row>
    <row r="188" spans="4:6">
      <c r="D188" s="10"/>
      <c r="E188" s="10"/>
      <c r="F188" s="11"/>
    </row>
    <row r="189" spans="4:6">
      <c r="D189" s="10"/>
      <c r="E189" s="10"/>
      <c r="F189" s="11"/>
    </row>
    <row r="190" spans="4:6">
      <c r="D190" s="10"/>
      <c r="E190" s="10"/>
      <c r="F190" s="11"/>
    </row>
    <row r="191" spans="4:6">
      <c r="D191" s="10"/>
      <c r="E191" s="10"/>
      <c r="F191" s="11"/>
    </row>
    <row r="192" spans="4:6">
      <c r="D192" s="10"/>
      <c r="E192" s="10"/>
      <c r="F192" s="11"/>
    </row>
    <row r="193" spans="4:6">
      <c r="D193" s="10"/>
      <c r="E193" s="10"/>
      <c r="F193" s="11"/>
    </row>
    <row r="194" spans="4:6">
      <c r="D194" s="10"/>
      <c r="E194" s="10"/>
      <c r="F194" s="11"/>
    </row>
    <row r="195" spans="4:6">
      <c r="D195" s="10"/>
      <c r="E195" s="10"/>
      <c r="F195" s="11"/>
    </row>
    <row r="196" spans="4:6">
      <c r="D196" s="10"/>
      <c r="E196" s="10"/>
      <c r="F196" s="11"/>
    </row>
    <row r="197" spans="4:6">
      <c r="D197" s="10"/>
      <c r="E197" s="10"/>
      <c r="F197" s="11"/>
    </row>
    <row r="198" spans="4:6">
      <c r="D198" s="10"/>
      <c r="E198" s="10"/>
      <c r="F198" s="11"/>
    </row>
    <row r="199" spans="4:6">
      <c r="D199" s="10"/>
      <c r="E199" s="10"/>
      <c r="F199" s="11"/>
    </row>
    <row r="200" spans="4:6">
      <c r="D200" s="10"/>
      <c r="E200" s="10"/>
      <c r="F200" s="11"/>
    </row>
    <row r="201" spans="4:6">
      <c r="D201" s="10"/>
      <c r="E201" s="10"/>
      <c r="F201" s="11"/>
    </row>
    <row r="202" spans="4:6">
      <c r="D202" s="10"/>
      <c r="E202" s="10"/>
      <c r="F202" s="11"/>
    </row>
    <row r="203" spans="4:6">
      <c r="D203" s="10"/>
      <c r="E203" s="10"/>
      <c r="F203" s="11"/>
    </row>
    <row r="204" spans="4:6">
      <c r="D204" s="10"/>
      <c r="E204" s="10"/>
      <c r="F204" s="11"/>
    </row>
    <row r="205" spans="4:6">
      <c r="D205" s="10"/>
      <c r="E205" s="10"/>
      <c r="F205" s="11"/>
    </row>
    <row r="206" spans="4:6">
      <c r="D206" s="10"/>
      <c r="E206" s="10"/>
      <c r="F206" s="11"/>
    </row>
    <row r="207" spans="4:6">
      <c r="D207" s="10"/>
      <c r="E207" s="10"/>
      <c r="F207" s="11"/>
    </row>
    <row r="208" spans="4:6">
      <c r="D208" s="10"/>
      <c r="E208" s="10"/>
      <c r="F208" s="11"/>
    </row>
    <row r="209" spans="4:6">
      <c r="D209" s="10"/>
      <c r="E209" s="10"/>
      <c r="F209" s="11"/>
    </row>
    <row r="210" spans="4:6">
      <c r="D210" s="10"/>
      <c r="E210" s="10"/>
      <c r="F210" s="11"/>
    </row>
    <row r="211" spans="4:6">
      <c r="D211" s="10"/>
      <c r="E211" s="10"/>
      <c r="F211" s="11"/>
    </row>
    <row r="212" spans="4:6">
      <c r="D212" s="10"/>
      <c r="E212" s="10"/>
      <c r="F212" s="11"/>
    </row>
    <row r="213" spans="4:6">
      <c r="D213" s="10"/>
      <c r="E213" s="10"/>
      <c r="F213" s="11"/>
    </row>
    <row r="214" spans="4:6">
      <c r="D214" s="10"/>
      <c r="E214" s="10"/>
      <c r="F214" s="11"/>
    </row>
    <row r="215" spans="4:6">
      <c r="D215" s="10"/>
      <c r="E215" s="10"/>
      <c r="F215" s="11"/>
    </row>
    <row r="216" spans="4:6">
      <c r="D216" s="10"/>
      <c r="E216" s="10"/>
      <c r="F216" s="11"/>
    </row>
    <row r="217" spans="4:6">
      <c r="D217" s="10"/>
      <c r="E217" s="10"/>
      <c r="F217" s="11"/>
    </row>
    <row r="218" spans="4:6">
      <c r="D218" s="10"/>
      <c r="E218" s="10"/>
      <c r="F218" s="11"/>
    </row>
    <row r="219" spans="4:6">
      <c r="D219" s="10"/>
      <c r="E219" s="10"/>
      <c r="F219" s="11"/>
    </row>
    <row r="220" spans="4:6">
      <c r="D220" s="10"/>
      <c r="E220" s="10"/>
      <c r="F220" s="11"/>
    </row>
    <row r="221" spans="4:6">
      <c r="D221" s="10"/>
      <c r="E221" s="10"/>
      <c r="F221" s="11"/>
    </row>
    <row r="222" spans="4:6">
      <c r="D222" s="10"/>
      <c r="E222" s="10"/>
      <c r="F222" s="11"/>
    </row>
    <row r="223" spans="4:6">
      <c r="D223" s="10"/>
      <c r="E223" s="10"/>
      <c r="F223" s="11"/>
    </row>
    <row r="224" spans="4:6">
      <c r="D224" s="10"/>
      <c r="E224" s="10"/>
      <c r="F224" s="11"/>
    </row>
    <row r="225" spans="4:6">
      <c r="D225" s="10"/>
      <c r="E225" s="10"/>
      <c r="F225" s="11"/>
    </row>
    <row r="226" spans="4:6">
      <c r="D226" s="10"/>
      <c r="E226" s="10"/>
      <c r="F226" s="11"/>
    </row>
    <row r="227" spans="4:6">
      <c r="D227" s="10"/>
      <c r="E227" s="10"/>
      <c r="F227" s="11"/>
    </row>
    <row r="228" spans="4:6">
      <c r="D228" s="10"/>
      <c r="E228" s="10"/>
      <c r="F228" s="11"/>
    </row>
    <row r="229" spans="4:6">
      <c r="D229" s="10"/>
      <c r="E229" s="10"/>
      <c r="F229" s="11"/>
    </row>
    <row r="230" spans="4:6">
      <c r="D230" s="10"/>
      <c r="E230" s="10"/>
      <c r="F230" s="11"/>
    </row>
    <row r="231" spans="4:6">
      <c r="D231" s="10"/>
      <c r="E231" s="10"/>
      <c r="F231" s="11"/>
    </row>
    <row r="232" spans="4:6">
      <c r="D232" s="10"/>
      <c r="E232" s="10"/>
      <c r="F232" s="11"/>
    </row>
    <row r="233" spans="4:6">
      <c r="D233" s="10"/>
      <c r="E233" s="10"/>
      <c r="F233" s="11"/>
    </row>
    <row r="234" spans="4:6">
      <c r="D234" s="10"/>
      <c r="E234" s="10"/>
      <c r="F234" s="11"/>
    </row>
    <row r="235" spans="4:6">
      <c r="D235" s="10"/>
      <c r="E235" s="10"/>
      <c r="F235" s="11"/>
    </row>
    <row r="236" spans="4:6">
      <c r="D236" s="10"/>
      <c r="E236" s="10"/>
      <c r="F236" s="11"/>
    </row>
    <row r="237" spans="4:6">
      <c r="D237" s="10"/>
      <c r="E237" s="10"/>
      <c r="F237" s="11"/>
    </row>
    <row r="238" spans="4:6">
      <c r="D238" s="10"/>
      <c r="E238" s="10"/>
      <c r="F238" s="11"/>
    </row>
    <row r="239" spans="4:6">
      <c r="D239" s="10"/>
      <c r="E239" s="10"/>
      <c r="F239" s="11"/>
    </row>
    <row r="240" spans="4:6">
      <c r="D240" s="10"/>
      <c r="E240" s="10"/>
      <c r="F240" s="11"/>
    </row>
    <row r="241" spans="4:6">
      <c r="D241" s="10"/>
      <c r="E241" s="10"/>
      <c r="F241" s="11"/>
    </row>
    <row r="242" spans="4:6">
      <c r="D242" s="10"/>
      <c r="E242" s="10"/>
      <c r="F242" s="11"/>
    </row>
    <row r="243" spans="4:6">
      <c r="D243" s="10"/>
      <c r="E243" s="10"/>
      <c r="F243" s="11"/>
    </row>
    <row r="244" spans="4:6">
      <c r="D244" s="10"/>
      <c r="E244" s="10"/>
      <c r="F244" s="11"/>
    </row>
    <row r="245" spans="4:6">
      <c r="D245" s="10"/>
      <c r="E245" s="10"/>
      <c r="F245" s="11"/>
    </row>
    <row r="246" spans="4:6">
      <c r="D246" s="10"/>
      <c r="E246" s="10"/>
      <c r="F246" s="11"/>
    </row>
    <row r="247" spans="4:6">
      <c r="D247" s="10"/>
      <c r="E247" s="10"/>
      <c r="F247" s="11"/>
    </row>
    <row r="248" spans="4:6">
      <c r="D248" s="10"/>
      <c r="E248" s="10"/>
      <c r="F248" s="11"/>
    </row>
    <row r="249" spans="4:6">
      <c r="D249" s="10"/>
      <c r="E249" s="10"/>
      <c r="F249" s="11"/>
    </row>
    <row r="250" spans="4:6">
      <c r="D250" s="10"/>
      <c r="E250" s="10"/>
      <c r="F250" s="11"/>
    </row>
    <row r="251" spans="4:6">
      <c r="D251" s="10"/>
      <c r="E251" s="10"/>
      <c r="F251" s="11"/>
    </row>
    <row r="252" spans="4:6">
      <c r="D252" s="10"/>
      <c r="E252" s="10"/>
      <c r="F252" s="11"/>
    </row>
    <row r="253" spans="4:6">
      <c r="D253" s="10"/>
      <c r="E253" s="10"/>
      <c r="F253" s="11"/>
    </row>
    <row r="254" spans="4:6">
      <c r="D254" s="10"/>
      <c r="E254" s="10"/>
      <c r="F254" s="11"/>
    </row>
    <row r="255" spans="4:6">
      <c r="D255" s="10"/>
      <c r="E255" s="10"/>
      <c r="F255" s="11"/>
    </row>
    <row r="256" spans="4:6">
      <c r="D256" s="10"/>
      <c r="E256" s="10"/>
      <c r="F256" s="11"/>
    </row>
    <row r="257" spans="4:6">
      <c r="D257" s="10"/>
      <c r="E257" s="10"/>
      <c r="F257" s="11"/>
    </row>
    <row r="258" spans="4:6">
      <c r="D258" s="10"/>
      <c r="E258" s="10"/>
      <c r="F258" s="11"/>
    </row>
    <row r="259" spans="4:6">
      <c r="D259" s="10"/>
      <c r="E259" s="10"/>
      <c r="F259" s="11"/>
    </row>
    <row r="260" spans="4:6">
      <c r="D260" s="10"/>
      <c r="E260" s="10"/>
      <c r="F260" s="11"/>
    </row>
    <row r="261" spans="4:6">
      <c r="D261" s="10"/>
      <c r="E261" s="10"/>
      <c r="F261" s="11"/>
    </row>
    <row r="262" spans="4:6">
      <c r="D262" s="10"/>
      <c r="E262" s="10"/>
      <c r="F262" s="11"/>
    </row>
    <row r="263" spans="4:6">
      <c r="D263" s="10"/>
      <c r="E263" s="10"/>
      <c r="F263" s="11"/>
    </row>
    <row r="264" spans="4:6">
      <c r="D264" s="10"/>
      <c r="E264" s="10"/>
      <c r="F264" s="11"/>
    </row>
    <row r="265" spans="4:6">
      <c r="D265" s="10"/>
      <c r="E265" s="10"/>
      <c r="F265" s="11"/>
    </row>
    <row r="266" spans="4:6">
      <c r="D266" s="10"/>
      <c r="E266" s="10"/>
      <c r="F266" s="11"/>
    </row>
    <row r="267" spans="4:6">
      <c r="D267" s="10"/>
      <c r="E267" s="10"/>
      <c r="F267" s="11"/>
    </row>
    <row r="268" spans="4:6">
      <c r="D268" s="10"/>
      <c r="E268" s="10"/>
      <c r="F268" s="11"/>
    </row>
    <row r="269" spans="4:6">
      <c r="D269" s="10"/>
      <c r="E269" s="10"/>
      <c r="F269" s="11"/>
    </row>
    <row r="270" spans="4:6">
      <c r="D270" s="10"/>
      <c r="E270" s="10"/>
      <c r="F270" s="11"/>
    </row>
    <row r="271" spans="4:6">
      <c r="D271" s="10"/>
      <c r="E271" s="10"/>
      <c r="F271" s="11"/>
    </row>
    <row r="272" spans="4:6">
      <c r="D272" s="10"/>
      <c r="E272" s="10"/>
      <c r="F272" s="11"/>
    </row>
    <row r="273" spans="4:6">
      <c r="D273" s="10"/>
      <c r="E273" s="10"/>
      <c r="F273" s="11"/>
    </row>
    <row r="274" spans="4:6">
      <c r="D274" s="10"/>
      <c r="E274" s="10"/>
      <c r="F274" s="11"/>
    </row>
    <row r="275" spans="4:6">
      <c r="D275" s="10"/>
      <c r="E275" s="10"/>
      <c r="F275" s="11"/>
    </row>
    <row r="276" spans="4:6">
      <c r="D276" s="10"/>
      <c r="E276" s="10"/>
      <c r="F276" s="11"/>
    </row>
    <row r="277" spans="4:6">
      <c r="D277" s="10"/>
      <c r="E277" s="10"/>
      <c r="F277" s="11"/>
    </row>
    <row r="278" spans="4:6">
      <c r="D278" s="10"/>
      <c r="E278" s="10"/>
      <c r="F278" s="11"/>
    </row>
    <row r="279" spans="4:6">
      <c r="D279" s="10"/>
      <c r="E279" s="10"/>
      <c r="F279" s="11"/>
    </row>
    <row r="280" spans="4:6">
      <c r="D280" s="10"/>
      <c r="E280" s="10"/>
      <c r="F280" s="11"/>
    </row>
    <row r="281" spans="4:6">
      <c r="D281" s="10"/>
      <c r="E281" s="10"/>
      <c r="F281" s="11"/>
    </row>
    <row r="282" spans="4:6">
      <c r="D282" s="10"/>
      <c r="E282" s="10"/>
      <c r="F282" s="11"/>
    </row>
    <row r="283" spans="4:6">
      <c r="D283" s="10"/>
      <c r="E283" s="10"/>
      <c r="F283" s="11"/>
    </row>
    <row r="284" spans="4:6">
      <c r="D284" s="10"/>
      <c r="E284" s="10"/>
      <c r="F284" s="11"/>
    </row>
    <row r="285" spans="4:6">
      <c r="D285" s="10"/>
      <c r="E285" s="10"/>
      <c r="F285" s="11"/>
    </row>
    <row r="286" spans="4:6">
      <c r="D286" s="10"/>
      <c r="E286" s="10"/>
      <c r="F286" s="11"/>
    </row>
    <row r="287" spans="4:6">
      <c r="D287" s="10"/>
      <c r="E287" s="10"/>
      <c r="F287" s="11"/>
    </row>
    <row r="288" spans="4:6">
      <c r="D288" s="10"/>
      <c r="E288" s="10"/>
      <c r="F288" s="11"/>
    </row>
    <row r="289" spans="4:6">
      <c r="D289" s="10"/>
      <c r="E289" s="10"/>
      <c r="F289" s="11"/>
    </row>
    <row r="290" spans="4:6">
      <c r="D290" s="10"/>
      <c r="E290" s="10"/>
      <c r="F290" s="11"/>
    </row>
    <row r="291" spans="4:6">
      <c r="D291" s="10"/>
      <c r="E291" s="10"/>
      <c r="F291" s="11"/>
    </row>
    <row r="292" spans="4:6">
      <c r="D292" s="10"/>
      <c r="E292" s="10"/>
      <c r="F292" s="11"/>
    </row>
    <row r="293" spans="4:6">
      <c r="D293" s="10"/>
      <c r="E293" s="10"/>
      <c r="F293" s="11"/>
    </row>
    <row r="294" spans="4:6">
      <c r="D294" s="10"/>
      <c r="E294" s="10"/>
      <c r="F294" s="11"/>
    </row>
    <row r="295" spans="4:6">
      <c r="D295" s="10"/>
      <c r="E295" s="10"/>
      <c r="F295" s="11"/>
    </row>
    <row r="296" spans="4:6">
      <c r="D296" s="10"/>
      <c r="E296" s="10"/>
      <c r="F296" s="11"/>
    </row>
    <row r="297" spans="4:6">
      <c r="D297" s="10"/>
      <c r="E297" s="10"/>
      <c r="F297" s="11"/>
    </row>
    <row r="298" spans="4:6">
      <c r="D298" s="10"/>
      <c r="E298" s="10"/>
      <c r="F298" s="11"/>
    </row>
    <row r="299" spans="4:6">
      <c r="D299" s="10"/>
      <c r="E299" s="10"/>
      <c r="F299" s="11"/>
    </row>
    <row r="300" spans="4:6">
      <c r="D300" s="10"/>
      <c r="E300" s="10"/>
      <c r="F300" s="11"/>
    </row>
    <row r="301" spans="4:6">
      <c r="D301" s="10"/>
      <c r="E301" s="10"/>
      <c r="F301" s="11"/>
    </row>
    <row r="302" spans="4:6">
      <c r="D302" s="10"/>
      <c r="E302" s="10"/>
      <c r="F302" s="11"/>
    </row>
    <row r="303" spans="4:6">
      <c r="D303" s="10"/>
      <c r="E303" s="10"/>
      <c r="F303" s="11"/>
    </row>
    <row r="304" spans="4:6">
      <c r="D304" s="10"/>
      <c r="E304" s="10"/>
      <c r="F304" s="11"/>
    </row>
    <row r="305" spans="4:6">
      <c r="D305" s="10"/>
      <c r="E305" s="10"/>
      <c r="F305" s="11"/>
    </row>
    <row r="306" spans="4:6">
      <c r="D306" s="10"/>
      <c r="E306" s="10"/>
      <c r="F306" s="11"/>
    </row>
    <row r="307" spans="4:6">
      <c r="D307" s="10"/>
      <c r="E307" s="10"/>
      <c r="F307" s="11"/>
    </row>
    <row r="308" spans="4:6">
      <c r="D308" s="10"/>
      <c r="E308" s="10"/>
      <c r="F308" s="11"/>
    </row>
    <row r="309" spans="4:6">
      <c r="D309" s="10"/>
      <c r="E309" s="10"/>
      <c r="F309" s="11"/>
    </row>
    <row r="310" spans="4:6">
      <c r="D310" s="10"/>
      <c r="E310" s="10"/>
      <c r="F310" s="11"/>
    </row>
    <row r="311" spans="4:6">
      <c r="D311" s="10"/>
      <c r="E311" s="10"/>
      <c r="F311" s="11"/>
    </row>
    <row r="312" spans="4:6">
      <c r="D312" s="10"/>
      <c r="E312" s="10"/>
      <c r="F312" s="11"/>
    </row>
    <row r="313" spans="4:6">
      <c r="D313" s="10"/>
      <c r="E313" s="10"/>
      <c r="F313" s="11"/>
    </row>
    <row r="314" spans="4:6">
      <c r="D314" s="10"/>
      <c r="E314" s="10"/>
      <c r="F314" s="11"/>
    </row>
    <row r="315" spans="4:6">
      <c r="D315" s="10"/>
      <c r="E315" s="10"/>
      <c r="F315" s="11"/>
    </row>
    <row r="316" spans="4:6">
      <c r="D316" s="10"/>
      <c r="E316" s="10"/>
      <c r="F316" s="11"/>
    </row>
    <row r="317" spans="4:6">
      <c r="D317" s="10"/>
      <c r="E317" s="10"/>
      <c r="F317" s="11"/>
    </row>
    <row r="318" spans="4:6">
      <c r="D318" s="10"/>
      <c r="E318" s="10"/>
      <c r="F318" s="11"/>
    </row>
    <row r="319" spans="4:6">
      <c r="D319" s="10"/>
      <c r="E319" s="10"/>
      <c r="F319" s="11"/>
    </row>
    <row r="320" spans="4:6">
      <c r="D320" s="10"/>
      <c r="E320" s="10"/>
      <c r="F320" s="11"/>
    </row>
    <row r="321" spans="4:6">
      <c r="D321" s="10"/>
      <c r="E321" s="10"/>
      <c r="F321" s="11"/>
    </row>
    <row r="322" spans="4:6">
      <c r="D322" s="10"/>
      <c r="E322" s="10"/>
      <c r="F322" s="11"/>
    </row>
    <row r="323" spans="4:6">
      <c r="D323" s="10"/>
      <c r="E323" s="10"/>
      <c r="F323" s="11"/>
    </row>
    <row r="324" spans="4:6">
      <c r="D324" s="10"/>
      <c r="E324" s="10"/>
      <c r="F324" s="11"/>
    </row>
    <row r="325" spans="4:6">
      <c r="D325" s="10"/>
      <c r="E325" s="10"/>
      <c r="F325" s="11"/>
    </row>
    <row r="326" spans="4:6">
      <c r="D326" s="10"/>
      <c r="E326" s="10"/>
      <c r="F326" s="11"/>
    </row>
    <row r="327" spans="4:6">
      <c r="D327" s="10"/>
      <c r="E327" s="10"/>
      <c r="F327" s="11"/>
    </row>
    <row r="328" spans="4:6">
      <c r="D328" s="10"/>
      <c r="E328" s="10"/>
      <c r="F328" s="11"/>
    </row>
    <row r="329" spans="4:6">
      <c r="D329" s="10"/>
      <c r="E329" s="10"/>
      <c r="F329" s="11"/>
    </row>
    <row r="330" spans="4:6">
      <c r="D330" s="10"/>
      <c r="E330" s="10"/>
      <c r="F330" s="11"/>
    </row>
    <row r="331" spans="4:6">
      <c r="D331" s="10"/>
      <c r="E331" s="10"/>
      <c r="F331" s="11"/>
    </row>
    <row r="332" spans="4:6">
      <c r="D332" s="10"/>
      <c r="E332" s="10"/>
      <c r="F332" s="11"/>
    </row>
    <row r="333" spans="4:6">
      <c r="D333" s="10"/>
      <c r="E333" s="10"/>
      <c r="F333" s="11"/>
    </row>
    <row r="334" spans="4:6">
      <c r="D334" s="10"/>
      <c r="E334" s="10"/>
      <c r="F334" s="11"/>
    </row>
    <row r="335" spans="4:6">
      <c r="D335" s="10"/>
      <c r="E335" s="10"/>
      <c r="F335" s="11"/>
    </row>
    <row r="336" spans="4:6">
      <c r="D336" s="10"/>
      <c r="E336" s="10"/>
      <c r="F336" s="11"/>
    </row>
    <row r="337" spans="4:6">
      <c r="D337" s="10"/>
      <c r="E337" s="10"/>
      <c r="F337" s="11"/>
    </row>
    <row r="338" spans="4:6">
      <c r="D338" s="10"/>
      <c r="E338" s="10"/>
      <c r="F338" s="11"/>
    </row>
    <row r="339" spans="4:6">
      <c r="D339" s="10"/>
      <c r="E339" s="10"/>
      <c r="F339" s="11"/>
    </row>
    <row r="340" spans="4:6">
      <c r="D340" s="10"/>
      <c r="E340" s="10"/>
      <c r="F340" s="11"/>
    </row>
    <row r="341" spans="4:6">
      <c r="D341" s="10"/>
      <c r="E341" s="10"/>
      <c r="F341" s="11"/>
    </row>
    <row r="342" spans="4:6">
      <c r="D342" s="10"/>
      <c r="E342" s="10"/>
      <c r="F342" s="11"/>
    </row>
    <row r="343" spans="4:6">
      <c r="D343" s="10"/>
      <c r="E343" s="10"/>
      <c r="F343" s="11"/>
    </row>
    <row r="344" spans="4:6">
      <c r="D344" s="10"/>
      <c r="E344" s="10"/>
      <c r="F344" s="11"/>
    </row>
    <row r="345" spans="4:6">
      <c r="D345" s="10"/>
      <c r="E345" s="10"/>
      <c r="F345" s="11"/>
    </row>
    <row r="346" spans="4:6">
      <c r="D346" s="10"/>
      <c r="E346" s="10"/>
      <c r="F346" s="11"/>
    </row>
    <row r="347" spans="4:6">
      <c r="D347" s="10"/>
      <c r="E347" s="10"/>
      <c r="F347" s="11"/>
    </row>
    <row r="348" spans="4:6">
      <c r="D348" s="10"/>
      <c r="E348" s="10"/>
      <c r="F348" s="11"/>
    </row>
    <row r="349" spans="4:6">
      <c r="D349" s="10"/>
      <c r="E349" s="10"/>
      <c r="F349" s="11"/>
    </row>
    <row r="350" spans="4:6">
      <c r="D350" s="10"/>
      <c r="E350" s="10"/>
      <c r="F350" s="11"/>
    </row>
    <row r="351" spans="4:6">
      <c r="D351" s="10"/>
      <c r="E351" s="10"/>
      <c r="F351" s="11"/>
    </row>
    <row r="352" spans="4:6">
      <c r="D352" s="10"/>
      <c r="E352" s="10"/>
      <c r="F352" s="11"/>
    </row>
    <row r="353" spans="4:6">
      <c r="D353" s="10"/>
      <c r="E353" s="10"/>
      <c r="F353" s="11"/>
    </row>
    <row r="354" spans="4:6">
      <c r="D354" s="10"/>
      <c r="E354" s="10"/>
      <c r="F354" s="11"/>
    </row>
    <row r="355" spans="4:6">
      <c r="D355" s="10"/>
      <c r="E355" s="10"/>
      <c r="F355" s="11"/>
    </row>
    <row r="356" spans="4:6">
      <c r="D356" s="10"/>
      <c r="E356" s="10"/>
      <c r="F356" s="11"/>
    </row>
    <row r="357" spans="4:6">
      <c r="D357" s="10"/>
      <c r="E357" s="10"/>
      <c r="F357" s="11"/>
    </row>
    <row r="358" spans="4:6">
      <c r="D358" s="10"/>
      <c r="E358" s="10"/>
      <c r="F358" s="11"/>
    </row>
    <row r="359" spans="4:6">
      <c r="D359" s="10"/>
      <c r="E359" s="10"/>
      <c r="F359" s="11"/>
    </row>
    <row r="360" spans="4:6">
      <c r="D360" s="10"/>
      <c r="E360" s="10"/>
      <c r="F360" s="11"/>
    </row>
    <row r="361" spans="4:6">
      <c r="D361" s="10"/>
      <c r="E361" s="10"/>
      <c r="F361" s="11"/>
    </row>
    <row r="362" spans="4:6">
      <c r="D362" s="10"/>
      <c r="E362" s="10"/>
      <c r="F362" s="11"/>
    </row>
    <row r="363" spans="4:6">
      <c r="D363" s="10"/>
      <c r="E363" s="10"/>
      <c r="F363" s="11"/>
    </row>
    <row r="364" spans="4:6">
      <c r="D364" s="10"/>
      <c r="E364" s="10"/>
      <c r="F364" s="11"/>
    </row>
    <row r="365" spans="4:6">
      <c r="D365" s="10"/>
      <c r="E365" s="10"/>
      <c r="F365" s="11"/>
    </row>
    <row r="366" spans="4:6">
      <c r="D366" s="10"/>
      <c r="E366" s="10"/>
      <c r="F366" s="11"/>
    </row>
    <row r="367" spans="4:6">
      <c r="D367" s="10"/>
      <c r="E367" s="10"/>
      <c r="F367" s="11"/>
    </row>
    <row r="368" spans="4:6">
      <c r="D368" s="10"/>
      <c r="E368" s="10"/>
      <c r="F368" s="11"/>
    </row>
    <row r="369" spans="4:6">
      <c r="D369" s="10"/>
      <c r="E369" s="10"/>
      <c r="F369" s="11"/>
    </row>
    <row r="370" spans="4:6">
      <c r="D370" s="10"/>
      <c r="E370" s="10"/>
      <c r="F370" s="11"/>
    </row>
    <row r="371" spans="4:6">
      <c r="D371" s="10"/>
      <c r="E371" s="10"/>
      <c r="F371" s="11"/>
    </row>
    <row r="372" spans="4:6">
      <c r="D372" s="10"/>
      <c r="E372" s="10"/>
      <c r="F372" s="11"/>
    </row>
    <row r="373" spans="4:6">
      <c r="D373" s="10"/>
      <c r="E373" s="10"/>
      <c r="F373" s="11"/>
    </row>
    <row r="374" spans="4:6">
      <c r="D374" s="10"/>
      <c r="E374" s="10"/>
      <c r="F374" s="11"/>
    </row>
    <row r="375" spans="4:6">
      <c r="D375" s="10"/>
      <c r="E375" s="10"/>
      <c r="F375" s="11"/>
    </row>
    <row r="376" spans="4:6">
      <c r="D376" s="10"/>
      <c r="E376" s="10"/>
      <c r="F376" s="11"/>
    </row>
    <row r="377" spans="4:6">
      <c r="D377" s="10"/>
      <c r="E377" s="10"/>
      <c r="F377" s="11"/>
    </row>
    <row r="378" spans="4:6">
      <c r="D378" s="10"/>
      <c r="E378" s="10"/>
      <c r="F378" s="11"/>
    </row>
    <row r="379" spans="4:6">
      <c r="D379" s="10"/>
      <c r="E379" s="10"/>
      <c r="F379" s="11"/>
    </row>
    <row r="380" spans="4:6">
      <c r="D380" s="10"/>
      <c r="E380" s="10"/>
      <c r="F380" s="11"/>
    </row>
    <row r="381" spans="4:6">
      <c r="D381" s="10"/>
      <c r="E381" s="10"/>
      <c r="F381" s="11"/>
    </row>
    <row r="382" spans="4:6">
      <c r="D382" s="10"/>
      <c r="E382" s="10"/>
      <c r="F382" s="11"/>
    </row>
    <row r="383" spans="4:6">
      <c r="D383" s="10"/>
      <c r="E383" s="10"/>
      <c r="F383" s="11"/>
    </row>
    <row r="384" spans="4:6">
      <c r="D384" s="10"/>
      <c r="E384" s="10"/>
      <c r="F384" s="11"/>
    </row>
    <row r="385" spans="4:6">
      <c r="D385" s="10"/>
      <c r="E385" s="10"/>
      <c r="F385" s="11"/>
    </row>
    <row r="386" spans="4:6">
      <c r="D386" s="10"/>
      <c r="E386" s="10"/>
      <c r="F386" s="11"/>
    </row>
    <row r="387" spans="4:6">
      <c r="D387" s="10"/>
      <c r="E387" s="10"/>
      <c r="F387" s="11"/>
    </row>
    <row r="388" spans="4:6">
      <c r="D388" s="10"/>
      <c r="E388" s="10"/>
      <c r="F388" s="11"/>
    </row>
    <row r="389" spans="4:6">
      <c r="D389" s="10"/>
      <c r="E389" s="10"/>
      <c r="F389" s="11"/>
    </row>
    <row r="390" spans="4:6">
      <c r="D390" s="10"/>
      <c r="E390" s="10"/>
      <c r="F390" s="11"/>
    </row>
    <row r="391" spans="4:6">
      <c r="D391" s="10"/>
      <c r="E391" s="10"/>
      <c r="F391" s="11"/>
    </row>
    <row r="392" spans="4:6">
      <c r="D392" s="10"/>
      <c r="E392" s="10"/>
      <c r="F392" s="11"/>
    </row>
    <row r="393" spans="4:6">
      <c r="D393" s="10"/>
      <c r="E393" s="10"/>
      <c r="F393" s="11"/>
    </row>
    <row r="394" spans="4:6">
      <c r="D394" s="10"/>
      <c r="E394" s="10"/>
      <c r="F394" s="11"/>
    </row>
    <row r="395" spans="4:6">
      <c r="D395" s="10"/>
      <c r="E395" s="10"/>
      <c r="F395" s="11"/>
    </row>
    <row r="396" spans="4:6">
      <c r="D396" s="10"/>
      <c r="E396" s="10"/>
      <c r="F396" s="11"/>
    </row>
    <row r="397" spans="4:6">
      <c r="D397" s="10"/>
      <c r="E397" s="10"/>
      <c r="F397" s="11"/>
    </row>
    <row r="398" spans="4:6">
      <c r="D398" s="10"/>
      <c r="E398" s="10"/>
      <c r="F398" s="11"/>
    </row>
    <row r="399" spans="4:6">
      <c r="D399" s="10"/>
      <c r="E399" s="10"/>
      <c r="F399" s="11"/>
    </row>
    <row r="400" spans="4:6">
      <c r="D400" s="10"/>
      <c r="E400" s="10"/>
      <c r="F400" s="11"/>
    </row>
    <row r="401" spans="4:6">
      <c r="D401" s="10"/>
      <c r="E401" s="10"/>
      <c r="F401" s="11"/>
    </row>
    <row r="402" spans="4:6">
      <c r="D402" s="10"/>
      <c r="E402" s="10"/>
      <c r="F402" s="11"/>
    </row>
    <row r="403" spans="4:6">
      <c r="D403" s="10"/>
      <c r="E403" s="10"/>
      <c r="F403" s="11"/>
    </row>
    <row r="404" spans="4:6">
      <c r="D404" s="10"/>
      <c r="E404" s="10"/>
      <c r="F404" s="11"/>
    </row>
    <row r="405" spans="4:6">
      <c r="D405" s="10"/>
      <c r="E405" s="10"/>
      <c r="F405" s="11"/>
    </row>
    <row r="406" spans="4:6">
      <c r="D406" s="10"/>
      <c r="E406" s="10"/>
      <c r="F406" s="11"/>
    </row>
    <row r="407" spans="4:6">
      <c r="D407" s="10"/>
      <c r="E407" s="10"/>
      <c r="F407" s="11"/>
    </row>
    <row r="408" spans="4:6">
      <c r="D408" s="10"/>
      <c r="E408" s="10"/>
      <c r="F408" s="11"/>
    </row>
    <row r="409" spans="4:6">
      <c r="D409" s="10"/>
      <c r="E409" s="10"/>
      <c r="F409" s="11"/>
    </row>
    <row r="410" spans="4:6">
      <c r="D410" s="10"/>
      <c r="E410" s="10"/>
      <c r="F410" s="11"/>
    </row>
    <row r="411" spans="4:6">
      <c r="D411" s="10"/>
      <c r="E411" s="10"/>
      <c r="F411" s="11"/>
    </row>
    <row r="412" spans="4:6">
      <c r="D412" s="10"/>
      <c r="E412" s="10"/>
      <c r="F412" s="11"/>
    </row>
    <row r="413" spans="4:6">
      <c r="D413" s="10"/>
      <c r="E413" s="10"/>
      <c r="F413" s="11"/>
    </row>
    <row r="414" spans="4:6">
      <c r="D414" s="10"/>
      <c r="E414" s="10"/>
      <c r="F414" s="11"/>
    </row>
    <row r="415" spans="4:6">
      <c r="D415" s="10"/>
      <c r="E415" s="10"/>
      <c r="F415" s="11"/>
    </row>
    <row r="416" spans="4:6">
      <c r="D416" s="10"/>
      <c r="E416" s="10"/>
      <c r="F416" s="11"/>
    </row>
    <row r="417" spans="4:6">
      <c r="D417" s="10"/>
      <c r="E417" s="10"/>
      <c r="F417" s="11"/>
    </row>
    <row r="418" spans="4:6">
      <c r="D418" s="10"/>
      <c r="E418" s="10"/>
      <c r="F418" s="11"/>
    </row>
    <row r="419" spans="4:6">
      <c r="D419" s="10"/>
      <c r="E419" s="10"/>
      <c r="F419" s="11"/>
    </row>
    <row r="420" spans="4:6">
      <c r="D420" s="10"/>
      <c r="E420" s="10"/>
      <c r="F420" s="11"/>
    </row>
    <row r="421" spans="4:6">
      <c r="D421" s="10"/>
      <c r="E421" s="10"/>
      <c r="F421" s="11"/>
    </row>
    <row r="422" spans="4:6">
      <c r="D422" s="10"/>
      <c r="E422" s="10"/>
      <c r="F422" s="11"/>
    </row>
    <row r="423" spans="4:6">
      <c r="D423" s="10"/>
      <c r="E423" s="10"/>
      <c r="F423" s="11"/>
    </row>
    <row r="424" spans="4:6">
      <c r="D424" s="10"/>
      <c r="E424" s="10"/>
      <c r="F424" s="11"/>
    </row>
    <row r="425" spans="4:6">
      <c r="D425" s="10"/>
      <c r="E425" s="10"/>
      <c r="F425" s="11"/>
    </row>
    <row r="426" spans="4:6">
      <c r="D426" s="10"/>
      <c r="E426" s="10"/>
      <c r="F426" s="11"/>
    </row>
    <row r="427" spans="4:6">
      <c r="D427" s="10"/>
      <c r="E427" s="10"/>
      <c r="F427" s="11"/>
    </row>
    <row r="428" spans="4:6">
      <c r="D428" s="10"/>
      <c r="E428" s="10"/>
      <c r="F428" s="11"/>
    </row>
    <row r="429" spans="4:6">
      <c r="D429" s="10"/>
      <c r="E429" s="10"/>
      <c r="F429" s="11"/>
    </row>
    <row r="430" spans="4:6">
      <c r="D430" s="10"/>
      <c r="E430" s="10"/>
      <c r="F430" s="11"/>
    </row>
    <row r="431" spans="4:6">
      <c r="D431" s="10"/>
      <c r="E431" s="10"/>
      <c r="F431" s="11"/>
    </row>
    <row r="432" spans="4:6">
      <c r="D432" s="10"/>
      <c r="E432" s="10"/>
      <c r="F432" s="11"/>
    </row>
    <row r="433" spans="4:6">
      <c r="D433" s="10"/>
      <c r="E433" s="10"/>
      <c r="F433" s="11"/>
    </row>
    <row r="434" spans="4:6">
      <c r="D434" s="10"/>
      <c r="E434" s="10"/>
      <c r="F434" s="11"/>
    </row>
    <row r="435" spans="4:6">
      <c r="D435" s="10"/>
      <c r="E435" s="10"/>
      <c r="F435" s="11"/>
    </row>
    <row r="436" spans="4:6">
      <c r="D436" s="10"/>
      <c r="E436" s="10"/>
      <c r="F436" s="11"/>
    </row>
    <row r="437" spans="4:6">
      <c r="D437" s="10"/>
      <c r="E437" s="10"/>
      <c r="F437" s="11"/>
    </row>
    <row r="438" spans="4:6">
      <c r="D438" s="10"/>
      <c r="E438" s="10"/>
      <c r="F438" s="11"/>
    </row>
    <row r="439" spans="4:6">
      <c r="D439" s="10"/>
      <c r="E439" s="10"/>
      <c r="F439" s="11"/>
    </row>
    <row r="440" spans="4:6">
      <c r="D440" s="10"/>
      <c r="E440" s="10"/>
      <c r="F440" s="11"/>
    </row>
    <row r="441" spans="4:6">
      <c r="D441" s="10"/>
      <c r="E441" s="10"/>
      <c r="F441" s="11"/>
    </row>
    <row r="442" spans="4:6">
      <c r="D442" s="10"/>
      <c r="E442" s="10"/>
      <c r="F442" s="11"/>
    </row>
    <row r="443" spans="4:6">
      <c r="D443" s="10"/>
      <c r="E443" s="10"/>
      <c r="F443" s="11"/>
    </row>
    <row r="444" spans="4:6">
      <c r="D444" s="10"/>
      <c r="E444" s="10"/>
      <c r="F444" s="11"/>
    </row>
    <row r="445" spans="4:6">
      <c r="D445" s="10"/>
      <c r="E445" s="10"/>
      <c r="F445" s="11"/>
    </row>
    <row r="446" spans="4:6">
      <c r="D446" s="10"/>
      <c r="E446" s="10"/>
      <c r="F446" s="11"/>
    </row>
    <row r="447" spans="4:6">
      <c r="D447" s="10"/>
      <c r="E447" s="10"/>
      <c r="F447" s="11"/>
    </row>
    <row r="448" spans="4:6">
      <c r="D448" s="10"/>
      <c r="E448" s="10"/>
      <c r="F448" s="11"/>
    </row>
    <row r="449" spans="4:6">
      <c r="D449" s="10"/>
      <c r="E449" s="10"/>
      <c r="F449" s="11"/>
    </row>
    <row r="450" spans="4:6">
      <c r="D450" s="10"/>
      <c r="E450" s="10"/>
      <c r="F450" s="11"/>
    </row>
    <row r="451" spans="4:6">
      <c r="D451" s="10"/>
      <c r="E451" s="10"/>
      <c r="F451" s="11"/>
    </row>
    <row r="452" spans="4:6">
      <c r="D452" s="10"/>
      <c r="E452" s="10"/>
      <c r="F452" s="11"/>
    </row>
    <row r="453" spans="4:6">
      <c r="D453" s="10"/>
      <c r="E453" s="10"/>
      <c r="F453" s="11"/>
    </row>
    <row r="454" spans="4:6">
      <c r="D454" s="10"/>
      <c r="E454" s="10"/>
      <c r="F454" s="11"/>
    </row>
    <row r="455" spans="4:6">
      <c r="D455" s="10"/>
      <c r="E455" s="10"/>
      <c r="F455" s="11"/>
    </row>
    <row r="456" spans="4:6">
      <c r="D456" s="10"/>
      <c r="E456" s="10"/>
      <c r="F456" s="11"/>
    </row>
    <row r="457" spans="4:6">
      <c r="D457" s="10"/>
      <c r="E457" s="10"/>
      <c r="F457" s="11"/>
    </row>
    <row r="458" spans="4:6">
      <c r="D458" s="10"/>
      <c r="E458" s="10"/>
      <c r="F458" s="11"/>
    </row>
    <row r="459" spans="4:6">
      <c r="D459" s="10"/>
      <c r="E459" s="10"/>
      <c r="F459" s="11"/>
    </row>
    <row r="460" spans="4:6">
      <c r="D460" s="10"/>
      <c r="E460" s="10"/>
      <c r="F460" s="11"/>
    </row>
    <row r="461" spans="4:6">
      <c r="D461" s="10"/>
      <c r="E461" s="10"/>
      <c r="F461" s="11"/>
    </row>
    <row r="462" spans="4:6">
      <c r="D462" s="10"/>
      <c r="E462" s="10"/>
      <c r="F462" s="11"/>
    </row>
    <row r="463" spans="4:6">
      <c r="D463" s="10"/>
      <c r="E463" s="10"/>
      <c r="F463" s="11"/>
    </row>
    <row r="464" spans="4:6">
      <c r="D464" s="10"/>
      <c r="E464" s="10"/>
      <c r="F464" s="11"/>
    </row>
    <row r="465" spans="4:6">
      <c r="D465" s="10"/>
      <c r="E465" s="10"/>
      <c r="F465" s="11"/>
    </row>
    <row r="466" spans="4:6">
      <c r="D466" s="10"/>
      <c r="E466" s="10"/>
      <c r="F466" s="11"/>
    </row>
    <row r="467" spans="4:6">
      <c r="D467" s="10"/>
      <c r="E467" s="10"/>
      <c r="F467" s="11"/>
    </row>
    <row r="468" spans="4:6">
      <c r="D468" s="10"/>
      <c r="E468" s="10"/>
      <c r="F468" s="11"/>
    </row>
    <row r="469" spans="4:6">
      <c r="D469" s="10"/>
      <c r="E469" s="10"/>
      <c r="F469" s="11"/>
    </row>
    <row r="470" spans="4:6">
      <c r="D470" s="10"/>
      <c r="E470" s="10"/>
      <c r="F470" s="11"/>
    </row>
    <row r="471" spans="4:6">
      <c r="D471" s="10"/>
      <c r="E471" s="10"/>
      <c r="F471" s="11"/>
    </row>
    <row r="472" spans="4:6">
      <c r="D472" s="10"/>
      <c r="E472" s="10"/>
      <c r="F472" s="11"/>
    </row>
    <row r="473" spans="4:6">
      <c r="D473" s="10"/>
      <c r="E473" s="10"/>
      <c r="F473" s="11"/>
    </row>
    <row r="474" spans="4:6">
      <c r="D474" s="10"/>
      <c r="E474" s="10"/>
      <c r="F474" s="11"/>
    </row>
    <row r="475" spans="4:6">
      <c r="D475" s="10"/>
      <c r="E475" s="10"/>
      <c r="F475" s="11"/>
    </row>
    <row r="476" spans="4:6">
      <c r="D476" s="10"/>
      <c r="E476" s="10"/>
      <c r="F476" s="11"/>
    </row>
    <row r="477" spans="4:6">
      <c r="D477" s="10"/>
      <c r="E477" s="10"/>
      <c r="F477" s="11"/>
    </row>
    <row r="478" spans="4:6">
      <c r="D478" s="10"/>
      <c r="E478" s="10"/>
      <c r="F478" s="11"/>
    </row>
    <row r="479" spans="4:6">
      <c r="D479" s="10"/>
      <c r="E479" s="10"/>
      <c r="F479" s="11"/>
    </row>
    <row r="480" spans="4:6">
      <c r="D480" s="10"/>
      <c r="E480" s="10"/>
      <c r="F480" s="11"/>
    </row>
    <row r="481" spans="4:6">
      <c r="D481" s="10"/>
      <c r="E481" s="10"/>
      <c r="F481" s="11"/>
    </row>
    <row r="482" spans="4:6">
      <c r="D482" s="10"/>
      <c r="E482" s="10"/>
      <c r="F482" s="11"/>
    </row>
    <row r="483" spans="4:6">
      <c r="D483" s="10"/>
      <c r="E483" s="10"/>
      <c r="F483" s="11"/>
    </row>
    <row r="484" spans="4:6">
      <c r="D484" s="10"/>
      <c r="E484" s="10"/>
      <c r="F484" s="11"/>
    </row>
    <row r="485" spans="4:6">
      <c r="D485" s="10"/>
      <c r="E485" s="10"/>
      <c r="F485" s="11"/>
    </row>
    <row r="486" spans="4:6">
      <c r="D486" s="10"/>
      <c r="E486" s="10"/>
      <c r="F486" s="11"/>
    </row>
    <row r="487" spans="4:6">
      <c r="D487" s="10"/>
      <c r="E487" s="10"/>
      <c r="F487" s="11"/>
    </row>
    <row r="488" spans="4:6">
      <c r="D488" s="10"/>
      <c r="E488" s="10"/>
      <c r="F488" s="11"/>
    </row>
    <row r="489" spans="4:6">
      <c r="D489" s="10"/>
      <c r="E489" s="10"/>
      <c r="F489" s="11"/>
    </row>
    <row r="490" spans="4:6">
      <c r="D490" s="10"/>
      <c r="E490" s="10"/>
      <c r="F490" s="11"/>
    </row>
    <row r="491" spans="4:6">
      <c r="D491" s="10"/>
      <c r="E491" s="10"/>
      <c r="F491" s="11"/>
    </row>
    <row r="492" spans="4:6">
      <c r="D492" s="10"/>
      <c r="E492" s="10"/>
      <c r="F492" s="11"/>
    </row>
    <row r="493" spans="4:6">
      <c r="D493" s="10"/>
      <c r="E493" s="10"/>
      <c r="F493" s="11"/>
    </row>
    <row r="494" spans="4:6">
      <c r="D494" s="10"/>
      <c r="E494" s="10"/>
      <c r="F494" s="11"/>
    </row>
    <row r="495" spans="4:6">
      <c r="D495" s="10"/>
      <c r="E495" s="10"/>
      <c r="F495" s="11"/>
    </row>
    <row r="496" spans="4:6">
      <c r="D496" s="10"/>
      <c r="E496" s="10"/>
      <c r="F496" s="11"/>
    </row>
    <row r="497" spans="4:6">
      <c r="D497" s="10"/>
      <c r="E497" s="10"/>
      <c r="F497" s="11"/>
    </row>
    <row r="498" spans="4:6">
      <c r="D498" s="10"/>
      <c r="E498" s="10"/>
      <c r="F498" s="11"/>
    </row>
    <row r="499" spans="4:6">
      <c r="D499" s="10"/>
      <c r="E499" s="10"/>
      <c r="F499" s="11"/>
    </row>
    <row r="500" spans="4:6">
      <c r="D500" s="10"/>
      <c r="E500" s="10"/>
      <c r="F500" s="11"/>
    </row>
    <row r="501" spans="4:6">
      <c r="D501" s="10"/>
      <c r="E501" s="10"/>
      <c r="F501" s="11"/>
    </row>
    <row r="502" spans="4:6">
      <c r="D502" s="10"/>
      <c r="E502" s="10"/>
      <c r="F502" s="11"/>
    </row>
    <row r="503" spans="4:6">
      <c r="D503" s="10"/>
      <c r="E503" s="10"/>
      <c r="F503" s="11"/>
    </row>
    <row r="504" spans="4:6">
      <c r="D504" s="10"/>
      <c r="E504" s="10"/>
      <c r="F504" s="11"/>
    </row>
    <row r="505" spans="4:6">
      <c r="D505" s="10"/>
      <c r="E505" s="10"/>
      <c r="F505" s="11"/>
    </row>
    <row r="506" spans="4:6">
      <c r="D506" s="10"/>
      <c r="E506" s="10"/>
      <c r="F506" s="11"/>
    </row>
    <row r="507" spans="4:6">
      <c r="D507" s="10"/>
      <c r="E507" s="10"/>
      <c r="F507" s="11"/>
    </row>
    <row r="508" spans="4:6">
      <c r="D508" s="10"/>
      <c r="E508" s="10"/>
      <c r="F508" s="11"/>
    </row>
    <row r="509" spans="4:6">
      <c r="D509" s="10"/>
      <c r="E509" s="10"/>
      <c r="F509" s="11"/>
    </row>
    <row r="510" spans="4:6">
      <c r="D510" s="10"/>
      <c r="E510" s="10"/>
      <c r="F510" s="11"/>
    </row>
    <row r="511" spans="4:6">
      <c r="D511" s="10"/>
      <c r="E511" s="10"/>
      <c r="F511" s="11"/>
    </row>
    <row r="512" spans="4:6">
      <c r="D512" s="10"/>
      <c r="E512" s="10"/>
      <c r="F512" s="11"/>
    </row>
    <row r="513" spans="4:6">
      <c r="D513" s="10"/>
      <c r="E513" s="10"/>
      <c r="F513" s="11"/>
    </row>
    <row r="514" spans="4:6">
      <c r="D514" s="10"/>
      <c r="E514" s="10"/>
      <c r="F514" s="11"/>
    </row>
    <row r="515" spans="4:6">
      <c r="D515" s="10"/>
      <c r="E515" s="10"/>
      <c r="F515" s="11"/>
    </row>
    <row r="516" spans="4:6">
      <c r="D516" s="10"/>
      <c r="E516" s="10"/>
      <c r="F516" s="11"/>
    </row>
    <row r="517" spans="4:6">
      <c r="D517" s="10"/>
      <c r="E517" s="10"/>
      <c r="F517" s="11"/>
    </row>
    <row r="518" spans="4:6">
      <c r="D518" s="10"/>
      <c r="E518" s="10"/>
      <c r="F518" s="11"/>
    </row>
    <row r="519" spans="4:6">
      <c r="D519" s="10"/>
      <c r="E519" s="10"/>
      <c r="F519" s="11"/>
    </row>
    <row r="520" spans="4:6">
      <c r="D520" s="10"/>
      <c r="E520" s="10"/>
      <c r="F520" s="11"/>
    </row>
    <row r="521" spans="4:6">
      <c r="D521" s="10"/>
      <c r="E521" s="10"/>
      <c r="F521" s="11"/>
    </row>
    <row r="522" spans="4:6">
      <c r="D522" s="10"/>
      <c r="E522" s="10"/>
      <c r="F522" s="11"/>
    </row>
    <row r="523" spans="4:6">
      <c r="D523" s="10"/>
      <c r="E523" s="10"/>
      <c r="F523" s="11"/>
    </row>
    <row r="524" spans="4:6">
      <c r="D524" s="10"/>
      <c r="E524" s="10"/>
      <c r="F524" s="11"/>
    </row>
    <row r="525" spans="4:6">
      <c r="D525" s="10"/>
      <c r="E525" s="10"/>
      <c r="F525" s="11"/>
    </row>
    <row r="526" spans="4:6">
      <c r="D526" s="10"/>
      <c r="E526" s="10"/>
      <c r="F526" s="11"/>
    </row>
    <row r="527" spans="4:6">
      <c r="D527" s="10"/>
      <c r="E527" s="10"/>
      <c r="F527" s="11"/>
    </row>
    <row r="528" spans="4:6">
      <c r="D528" s="10"/>
      <c r="E528" s="10"/>
      <c r="F528" s="11"/>
    </row>
    <row r="529" spans="4:6">
      <c r="D529" s="10"/>
      <c r="E529" s="10"/>
      <c r="F529" s="11"/>
    </row>
    <row r="530" spans="4:6">
      <c r="D530" s="10"/>
      <c r="E530" s="10"/>
      <c r="F530" s="11"/>
    </row>
    <row r="531" spans="4:6">
      <c r="D531" s="10"/>
      <c r="E531" s="10"/>
      <c r="F531" s="11"/>
    </row>
    <row r="532" spans="4:6">
      <c r="D532" s="10"/>
      <c r="E532" s="10"/>
      <c r="F532" s="11"/>
    </row>
    <row r="533" spans="4:6">
      <c r="D533" s="10"/>
      <c r="E533" s="10"/>
      <c r="F533" s="11"/>
    </row>
    <row r="534" spans="4:6">
      <c r="D534" s="10"/>
      <c r="E534" s="10"/>
      <c r="F534" s="11"/>
    </row>
    <row r="535" spans="4:6">
      <c r="D535" s="10"/>
      <c r="E535" s="10"/>
      <c r="F535" s="11"/>
    </row>
    <row r="536" spans="4:6">
      <c r="D536" s="10"/>
      <c r="E536" s="10"/>
      <c r="F536" s="11"/>
    </row>
    <row r="537" spans="4:6">
      <c r="D537" s="10"/>
      <c r="E537" s="10"/>
      <c r="F537" s="11"/>
    </row>
    <row r="538" spans="4:6">
      <c r="D538" s="10"/>
      <c r="E538" s="10"/>
      <c r="F538" s="11"/>
    </row>
    <row r="539" spans="4:6">
      <c r="D539" s="10"/>
      <c r="E539" s="10"/>
      <c r="F539" s="11"/>
    </row>
    <row r="540" spans="4:6">
      <c r="D540" s="10"/>
      <c r="E540" s="10"/>
      <c r="F540" s="11"/>
    </row>
    <row r="541" spans="4:6">
      <c r="D541" s="10"/>
      <c r="E541" s="10"/>
      <c r="F541" s="11"/>
    </row>
    <row r="542" spans="4:6">
      <c r="D542" s="10"/>
      <c r="E542" s="10"/>
      <c r="F542" s="11"/>
    </row>
    <row r="543" spans="4:6">
      <c r="D543" s="10"/>
      <c r="E543" s="10"/>
      <c r="F543" s="11"/>
    </row>
    <row r="544" spans="4:6">
      <c r="D544" s="10"/>
      <c r="E544" s="10"/>
      <c r="F544" s="11"/>
    </row>
    <row r="545" spans="4:6">
      <c r="D545" s="10"/>
      <c r="E545" s="10"/>
      <c r="F545" s="11"/>
    </row>
    <row r="546" spans="4:6">
      <c r="D546" s="10"/>
      <c r="E546" s="10"/>
      <c r="F546" s="11"/>
    </row>
    <row r="547" spans="4:6">
      <c r="D547" s="10"/>
      <c r="E547" s="10"/>
      <c r="F547" s="11"/>
    </row>
    <row r="548" spans="4:6">
      <c r="D548" s="10"/>
      <c r="E548" s="10"/>
      <c r="F548" s="11"/>
    </row>
    <row r="549" spans="4:6">
      <c r="D549" s="10"/>
      <c r="E549" s="10"/>
      <c r="F549" s="11"/>
    </row>
    <row r="550" spans="4:6">
      <c r="D550" s="10"/>
      <c r="E550" s="10"/>
      <c r="F550" s="11"/>
    </row>
    <row r="551" spans="4:6">
      <c r="D551" s="10"/>
      <c r="E551" s="10"/>
      <c r="F551" s="11"/>
    </row>
    <row r="552" spans="4:6">
      <c r="D552" s="10"/>
      <c r="E552" s="10"/>
      <c r="F552" s="11"/>
    </row>
    <row r="553" spans="4:6">
      <c r="D553" s="10"/>
      <c r="E553" s="10"/>
      <c r="F553" s="11"/>
    </row>
    <row r="554" spans="4:6">
      <c r="D554" s="10"/>
      <c r="E554" s="10"/>
      <c r="F554" s="11"/>
    </row>
    <row r="555" spans="4:6">
      <c r="D555" s="10"/>
      <c r="E555" s="10"/>
      <c r="F555" s="11"/>
    </row>
    <row r="556" spans="4:6">
      <c r="D556" s="10"/>
      <c r="E556" s="10"/>
      <c r="F556" s="11"/>
    </row>
    <row r="557" spans="4:6">
      <c r="D557" s="10"/>
      <c r="E557" s="10"/>
      <c r="F557" s="11"/>
    </row>
    <row r="558" spans="4:6">
      <c r="D558" s="10"/>
      <c r="E558" s="10"/>
      <c r="F558" s="11"/>
    </row>
    <row r="559" spans="4:6">
      <c r="D559" s="10"/>
      <c r="E559" s="10"/>
      <c r="F559" s="11"/>
    </row>
    <row r="560" spans="4:6">
      <c r="D560" s="10"/>
      <c r="E560" s="10"/>
      <c r="F560" s="11"/>
    </row>
    <row r="561" spans="4:6">
      <c r="D561" s="10"/>
      <c r="E561" s="10"/>
      <c r="F561" s="11"/>
    </row>
    <row r="562" spans="4:6">
      <c r="D562" s="10"/>
      <c r="E562" s="10"/>
      <c r="F562" s="11"/>
    </row>
    <row r="563" spans="4:6">
      <c r="D563" s="10"/>
      <c r="E563" s="10"/>
      <c r="F563" s="11"/>
    </row>
    <row r="564" spans="4:6">
      <c r="D564" s="10"/>
      <c r="E564" s="10"/>
      <c r="F564" s="11"/>
    </row>
    <row r="565" spans="4:6">
      <c r="D565" s="10"/>
      <c r="E565" s="10"/>
      <c r="F565" s="11"/>
    </row>
    <row r="566" spans="4:6">
      <c r="D566" s="10"/>
      <c r="E566" s="10"/>
      <c r="F566" s="11"/>
    </row>
    <row r="567" spans="4:6">
      <c r="D567" s="10"/>
      <c r="E567" s="10"/>
      <c r="F567" s="11"/>
    </row>
    <row r="568" spans="4:6">
      <c r="D568" s="10"/>
      <c r="E568" s="10"/>
      <c r="F568" s="11"/>
    </row>
    <row r="569" spans="4:6">
      <c r="D569" s="10"/>
      <c r="E569" s="10"/>
      <c r="F569" s="11"/>
    </row>
    <row r="570" spans="4:6">
      <c r="D570" s="10"/>
      <c r="E570" s="10"/>
      <c r="F570" s="11"/>
    </row>
    <row r="571" spans="4:6">
      <c r="D571" s="10"/>
      <c r="E571" s="10"/>
      <c r="F571" s="11"/>
    </row>
    <row r="572" spans="4:6">
      <c r="D572" s="10"/>
      <c r="E572" s="10"/>
      <c r="F572" s="11"/>
    </row>
    <row r="573" spans="4:6">
      <c r="D573" s="10"/>
      <c r="E573" s="10"/>
      <c r="F573" s="11"/>
    </row>
    <row r="574" spans="4:6">
      <c r="D574" s="10"/>
      <c r="E574" s="10"/>
      <c r="F574" s="11"/>
    </row>
    <row r="575" spans="4:6">
      <c r="D575" s="10"/>
      <c r="E575" s="10"/>
      <c r="F575" s="11"/>
    </row>
    <row r="576" spans="4:6">
      <c r="D576" s="10"/>
      <c r="E576" s="10"/>
      <c r="F576" s="11"/>
    </row>
    <row r="577" spans="4:6">
      <c r="D577" s="10"/>
      <c r="E577" s="10"/>
      <c r="F577" s="11"/>
    </row>
    <row r="578" spans="4:6">
      <c r="D578" s="10"/>
      <c r="E578" s="10"/>
      <c r="F578" s="11"/>
    </row>
    <row r="579" spans="4:6">
      <c r="D579" s="10"/>
      <c r="E579" s="10"/>
      <c r="F579" s="11"/>
    </row>
    <row r="580" spans="4:6">
      <c r="D580" s="10"/>
      <c r="E580" s="10"/>
      <c r="F580" s="11"/>
    </row>
    <row r="581" spans="4:6">
      <c r="D581" s="10"/>
      <c r="E581" s="10"/>
      <c r="F581" s="11"/>
    </row>
    <row r="582" spans="4:6">
      <c r="D582" s="10"/>
      <c r="E582" s="10"/>
      <c r="F582" s="11"/>
    </row>
    <row r="583" spans="4:6">
      <c r="D583" s="10"/>
      <c r="E583" s="10"/>
      <c r="F583" s="11"/>
    </row>
    <row r="584" spans="4:6">
      <c r="D584" s="10"/>
      <c r="E584" s="10"/>
      <c r="F584" s="11"/>
    </row>
    <row r="585" spans="4:6">
      <c r="D585" s="10"/>
      <c r="E585" s="10"/>
      <c r="F585" s="11"/>
    </row>
    <row r="586" spans="4:6">
      <c r="D586" s="10"/>
      <c r="E586" s="10"/>
      <c r="F586" s="11"/>
    </row>
    <row r="587" spans="4:6">
      <c r="D587" s="10"/>
      <c r="E587" s="10"/>
      <c r="F587" s="11"/>
    </row>
    <row r="588" spans="4:6">
      <c r="D588" s="10"/>
      <c r="E588" s="10"/>
      <c r="F588" s="11"/>
    </row>
    <row r="589" spans="4:6">
      <c r="D589" s="10"/>
      <c r="E589" s="10"/>
      <c r="F589" s="11"/>
    </row>
    <row r="590" spans="4:6">
      <c r="D590" s="10"/>
      <c r="E590" s="10"/>
      <c r="F590" s="11"/>
    </row>
    <row r="591" spans="4:6">
      <c r="D591" s="10"/>
      <c r="E591" s="10"/>
      <c r="F591" s="11"/>
    </row>
    <row r="592" spans="4:6">
      <c r="D592" s="10"/>
      <c r="E592" s="10"/>
      <c r="F592" s="11"/>
    </row>
    <row r="593" spans="4:6">
      <c r="D593" s="10"/>
      <c r="E593" s="10"/>
      <c r="F593" s="11"/>
    </row>
    <row r="594" spans="4:6">
      <c r="D594" s="10"/>
      <c r="E594" s="10"/>
      <c r="F594" s="11"/>
    </row>
    <row r="595" spans="4:6">
      <c r="D595" s="10"/>
      <c r="E595" s="10"/>
      <c r="F595" s="11"/>
    </row>
    <row r="596" spans="4:6">
      <c r="D596" s="10"/>
      <c r="E596" s="10"/>
      <c r="F596" s="11"/>
    </row>
    <row r="597" spans="4:6">
      <c r="D597" s="10"/>
      <c r="E597" s="10"/>
      <c r="F597" s="11"/>
    </row>
    <row r="598" spans="4:6">
      <c r="D598" s="10"/>
      <c r="E598" s="10"/>
      <c r="F598" s="11"/>
    </row>
    <row r="599" spans="4:6">
      <c r="D599" s="10"/>
      <c r="E599" s="10"/>
      <c r="F599" s="11"/>
    </row>
    <row r="600" spans="4:6">
      <c r="D600" s="10"/>
      <c r="E600" s="10"/>
      <c r="F600" s="11"/>
    </row>
    <row r="601" spans="4:6">
      <c r="D601" s="10"/>
      <c r="E601" s="10"/>
      <c r="F601" s="11"/>
    </row>
    <row r="602" spans="4:6">
      <c r="D602" s="10"/>
      <c r="E602" s="10"/>
      <c r="F602" s="11"/>
    </row>
    <row r="603" spans="4:6">
      <c r="D603" s="10"/>
      <c r="E603" s="10"/>
      <c r="F603" s="11"/>
    </row>
    <row r="604" spans="4:6">
      <c r="D604" s="10"/>
      <c r="E604" s="10"/>
      <c r="F604" s="11"/>
    </row>
    <row r="605" spans="4:6">
      <c r="D605" s="10"/>
      <c r="E605" s="10"/>
      <c r="F605" s="11"/>
    </row>
    <row r="606" spans="4:6">
      <c r="D606" s="10"/>
      <c r="E606" s="10"/>
      <c r="F606" s="11"/>
    </row>
    <row r="607" spans="4:6">
      <c r="D607" s="10"/>
      <c r="E607" s="10"/>
      <c r="F607" s="11"/>
    </row>
    <row r="608" spans="4:6">
      <c r="D608" s="10"/>
      <c r="E608" s="10"/>
      <c r="F608" s="11"/>
    </row>
    <row r="609" spans="4:6">
      <c r="D609" s="10"/>
      <c r="E609" s="10"/>
      <c r="F609" s="11"/>
    </row>
    <row r="610" spans="4:6">
      <c r="D610" s="10"/>
      <c r="E610" s="10"/>
      <c r="F610" s="11"/>
    </row>
    <row r="611" spans="4:6">
      <c r="D611" s="10"/>
      <c r="E611" s="10"/>
      <c r="F611" s="11"/>
    </row>
    <row r="612" spans="4:6">
      <c r="D612" s="10"/>
      <c r="E612" s="10"/>
      <c r="F612" s="11"/>
    </row>
    <row r="613" spans="4:6">
      <c r="D613" s="10"/>
      <c r="E613" s="10"/>
      <c r="F613" s="11"/>
    </row>
    <row r="614" spans="4:6">
      <c r="D614" s="10"/>
      <c r="E614" s="10"/>
      <c r="F614" s="11"/>
    </row>
    <row r="615" spans="4:6">
      <c r="D615" s="10"/>
      <c r="E615" s="10"/>
      <c r="F615" s="11"/>
    </row>
    <row r="616" spans="4:6">
      <c r="D616" s="10"/>
      <c r="E616" s="10"/>
      <c r="F616" s="11"/>
    </row>
    <row r="617" spans="4:6">
      <c r="D617" s="10"/>
      <c r="E617" s="10"/>
      <c r="F617" s="11"/>
    </row>
    <row r="618" spans="4:6">
      <c r="D618" s="10"/>
      <c r="E618" s="10"/>
      <c r="F618" s="11"/>
    </row>
    <row r="619" spans="4:6">
      <c r="D619" s="10"/>
      <c r="E619" s="10"/>
      <c r="F619" s="11"/>
    </row>
    <row r="620" spans="4:6">
      <c r="D620" s="10"/>
      <c r="E620" s="10"/>
      <c r="F620" s="11"/>
    </row>
    <row r="621" spans="4:6">
      <c r="D621" s="10"/>
      <c r="E621" s="10"/>
      <c r="F621" s="11"/>
    </row>
    <row r="622" spans="4:6">
      <c r="D622" s="10"/>
      <c r="E622" s="10"/>
      <c r="F622" s="11"/>
    </row>
    <row r="623" spans="4:6">
      <c r="D623" s="10"/>
      <c r="E623" s="10"/>
      <c r="F623" s="11"/>
    </row>
    <row r="624" spans="4:6">
      <c r="D624" s="10"/>
      <c r="E624" s="10"/>
      <c r="F624" s="11"/>
    </row>
    <row r="625" spans="4:6">
      <c r="D625" s="10"/>
      <c r="E625" s="10"/>
      <c r="F625" s="11"/>
    </row>
    <row r="626" spans="4:6">
      <c r="D626" s="10"/>
      <c r="E626" s="10"/>
      <c r="F626" s="11"/>
    </row>
    <row r="627" spans="4:6">
      <c r="D627" s="10"/>
      <c r="E627" s="10"/>
      <c r="F627" s="11"/>
    </row>
    <row r="628" spans="4:6">
      <c r="D628" s="10"/>
      <c r="E628" s="10"/>
      <c r="F628" s="11"/>
    </row>
    <row r="629" spans="4:6">
      <c r="D629" s="10"/>
      <c r="E629" s="10"/>
      <c r="F629" s="11"/>
    </row>
    <row r="630" spans="4:6">
      <c r="D630" s="10"/>
      <c r="E630" s="10"/>
      <c r="F630" s="11"/>
    </row>
    <row r="631" spans="4:6">
      <c r="D631" s="10"/>
      <c r="E631" s="10"/>
      <c r="F631" s="11"/>
    </row>
    <row r="632" spans="4:6">
      <c r="D632" s="10"/>
      <c r="E632" s="10"/>
      <c r="F632" s="11"/>
    </row>
    <row r="633" spans="4:6">
      <c r="D633" s="10"/>
      <c r="E633" s="10"/>
      <c r="F633" s="11"/>
    </row>
    <row r="634" spans="4:6">
      <c r="D634" s="10"/>
      <c r="E634" s="10"/>
      <c r="F634" s="11"/>
    </row>
    <row r="635" spans="4:6">
      <c r="D635" s="10"/>
      <c r="E635" s="10"/>
      <c r="F635" s="11"/>
    </row>
    <row r="636" spans="4:6">
      <c r="D636" s="10"/>
      <c r="E636" s="10"/>
      <c r="F636" s="11"/>
    </row>
    <row r="637" spans="4:6">
      <c r="D637" s="10"/>
      <c r="E637" s="10"/>
      <c r="F637" s="11"/>
    </row>
    <row r="638" spans="4:6">
      <c r="D638" s="10"/>
      <c r="E638" s="10"/>
      <c r="F638" s="11"/>
    </row>
    <row r="639" spans="4:6">
      <c r="D639" s="10"/>
      <c r="E639" s="10"/>
      <c r="F639" s="11"/>
    </row>
    <row r="640" spans="4:6">
      <c r="D640" s="10"/>
      <c r="E640" s="10"/>
      <c r="F640" s="11"/>
    </row>
    <row r="641" spans="4:6">
      <c r="D641" s="10"/>
      <c r="E641" s="10"/>
      <c r="F641" s="11"/>
    </row>
    <row r="642" spans="4:6">
      <c r="D642" s="10"/>
      <c r="E642" s="10"/>
      <c r="F642" s="11"/>
    </row>
    <row r="643" spans="4:6">
      <c r="D643" s="10"/>
      <c r="E643" s="10"/>
      <c r="F643" s="11"/>
    </row>
    <row r="644" spans="4:6">
      <c r="D644" s="10"/>
      <c r="E644" s="10"/>
      <c r="F644" s="11"/>
    </row>
    <row r="645" spans="4:6">
      <c r="D645" s="10"/>
      <c r="E645" s="10"/>
      <c r="F645" s="11"/>
    </row>
    <row r="646" spans="4:6">
      <c r="D646" s="10"/>
      <c r="E646" s="10"/>
      <c r="F646" s="11"/>
    </row>
    <row r="647" spans="4:6">
      <c r="D647" s="10"/>
      <c r="E647" s="10"/>
      <c r="F647" s="11"/>
    </row>
    <row r="648" spans="4:6">
      <c r="D648" s="10"/>
      <c r="E648" s="10"/>
      <c r="F648" s="11"/>
    </row>
    <row r="649" spans="4:6">
      <c r="D649" s="10"/>
      <c r="E649" s="10"/>
      <c r="F649" s="11"/>
    </row>
    <row r="650" spans="4:6">
      <c r="D650" s="10"/>
      <c r="E650" s="10"/>
      <c r="F650" s="11"/>
    </row>
    <row r="651" spans="4:6">
      <c r="D651" s="10"/>
      <c r="E651" s="10"/>
      <c r="F651" s="11"/>
    </row>
    <row r="652" spans="4:6">
      <c r="D652" s="10"/>
      <c r="E652" s="10"/>
      <c r="F652" s="11"/>
    </row>
    <row r="653" spans="4:6">
      <c r="D653" s="10"/>
      <c r="E653" s="10"/>
      <c r="F653" s="11"/>
    </row>
    <row r="654" spans="4:6">
      <c r="D654" s="10"/>
      <c r="E654" s="10"/>
      <c r="F654" s="11"/>
    </row>
    <row r="655" spans="4:6">
      <c r="D655" s="10"/>
      <c r="E655" s="10"/>
      <c r="F655" s="11"/>
    </row>
    <row r="656" spans="4:6">
      <c r="D656" s="10"/>
      <c r="E656" s="10"/>
      <c r="F656" s="11"/>
    </row>
    <row r="657" spans="4:6">
      <c r="D657" s="10"/>
      <c r="E657" s="10"/>
      <c r="F657" s="11"/>
    </row>
    <row r="658" spans="4:6">
      <c r="D658" s="10"/>
      <c r="E658" s="10"/>
      <c r="F658" s="11"/>
    </row>
    <row r="659" spans="4:6">
      <c r="D659" s="10"/>
      <c r="E659" s="10"/>
      <c r="F659" s="11"/>
    </row>
    <row r="660" spans="4:6">
      <c r="D660" s="10"/>
      <c r="E660" s="10"/>
      <c r="F660" s="11"/>
    </row>
    <row r="661" spans="4:6">
      <c r="D661" s="10"/>
      <c r="E661" s="10"/>
      <c r="F661" s="11"/>
    </row>
    <row r="662" spans="4:6">
      <c r="D662" s="10"/>
      <c r="E662" s="10"/>
      <c r="F662" s="11"/>
    </row>
    <row r="663" spans="4:6">
      <c r="D663" s="10"/>
      <c r="E663" s="10"/>
      <c r="F663" s="11"/>
    </row>
    <row r="664" spans="4:6">
      <c r="D664" s="10"/>
      <c r="E664" s="10"/>
      <c r="F664" s="11"/>
    </row>
    <row r="665" spans="4:6">
      <c r="D665" s="10"/>
      <c r="E665" s="10"/>
      <c r="F665" s="11"/>
    </row>
    <row r="666" spans="4:6">
      <c r="D666" s="10"/>
      <c r="E666" s="10"/>
      <c r="F666" s="11"/>
    </row>
    <row r="667" spans="4:6">
      <c r="D667" s="10"/>
      <c r="E667" s="10"/>
      <c r="F667" s="11"/>
    </row>
    <row r="668" spans="4:6">
      <c r="D668" s="10"/>
      <c r="E668" s="10"/>
      <c r="F668" s="11"/>
    </row>
    <row r="669" spans="4:6">
      <c r="D669" s="10"/>
      <c r="E669" s="10"/>
      <c r="F669" s="11"/>
    </row>
    <row r="670" spans="4:6">
      <c r="D670" s="10"/>
      <c r="E670" s="10"/>
      <c r="F670" s="11"/>
    </row>
    <row r="671" spans="4:6">
      <c r="D671" s="10"/>
      <c r="E671" s="10"/>
      <c r="F671" s="11"/>
    </row>
    <row r="672" spans="4:6">
      <c r="D672" s="10"/>
      <c r="E672" s="10"/>
      <c r="F672" s="11"/>
    </row>
    <row r="673" spans="4:6">
      <c r="D673" s="10"/>
      <c r="E673" s="10"/>
      <c r="F673" s="11"/>
    </row>
    <row r="674" spans="4:6">
      <c r="D674" s="10"/>
      <c r="E674" s="10"/>
      <c r="F674" s="11"/>
    </row>
    <row r="675" spans="4:6">
      <c r="D675" s="10"/>
      <c r="E675" s="10"/>
      <c r="F675" s="11"/>
    </row>
    <row r="676" spans="4:6">
      <c r="D676" s="10"/>
      <c r="E676" s="10"/>
      <c r="F676" s="11"/>
    </row>
    <row r="677" spans="4:6">
      <c r="D677" s="10"/>
      <c r="E677" s="10"/>
      <c r="F677" s="11"/>
    </row>
    <row r="678" spans="4:6">
      <c r="D678" s="10"/>
      <c r="E678" s="10"/>
      <c r="F678" s="11"/>
    </row>
    <row r="679" spans="4:6">
      <c r="D679" s="10"/>
      <c r="E679" s="10"/>
      <c r="F679" s="11"/>
    </row>
    <row r="680" spans="4:6">
      <c r="D680" s="10"/>
      <c r="E680" s="10"/>
      <c r="F680" s="11"/>
    </row>
    <row r="681" spans="4:6">
      <c r="D681" s="10"/>
      <c r="E681" s="10"/>
      <c r="F681" s="11"/>
    </row>
    <row r="682" spans="4:6">
      <c r="D682" s="10"/>
      <c r="E682" s="10"/>
      <c r="F682" s="11"/>
    </row>
    <row r="683" spans="4:6">
      <c r="D683" s="10"/>
      <c r="E683" s="10"/>
      <c r="F683" s="11"/>
    </row>
    <row r="684" spans="4:6">
      <c r="D684" s="10"/>
      <c r="E684" s="10"/>
      <c r="F684" s="11"/>
    </row>
    <row r="685" spans="4:6">
      <c r="D685" s="10"/>
      <c r="E685" s="10"/>
      <c r="F685" s="11"/>
    </row>
    <row r="686" spans="4:6">
      <c r="D686" s="10"/>
      <c r="E686" s="10"/>
      <c r="F686" s="11"/>
    </row>
    <row r="687" spans="4:6">
      <c r="D687" s="10"/>
      <c r="E687" s="10"/>
      <c r="F687" s="11"/>
    </row>
    <row r="688" spans="4:6">
      <c r="D688" s="10"/>
      <c r="E688" s="10"/>
      <c r="F688" s="11"/>
    </row>
    <row r="689" spans="4:6">
      <c r="D689" s="10"/>
      <c r="E689" s="10"/>
      <c r="F689" s="11"/>
    </row>
    <row r="690" spans="4:6">
      <c r="D690" s="10"/>
      <c r="E690" s="10"/>
      <c r="F690" s="11"/>
    </row>
    <row r="691" spans="4:6">
      <c r="D691" s="10"/>
      <c r="E691" s="10"/>
      <c r="F691" s="11"/>
    </row>
    <row r="692" spans="4:6">
      <c r="D692" s="10"/>
      <c r="E692" s="10"/>
      <c r="F692" s="11"/>
    </row>
    <row r="693" spans="4:6">
      <c r="D693" s="10"/>
      <c r="E693" s="10"/>
      <c r="F693" s="11"/>
    </row>
    <row r="694" spans="4:6">
      <c r="D694" s="10"/>
      <c r="E694" s="10"/>
      <c r="F694" s="11"/>
    </row>
    <row r="695" spans="4:6">
      <c r="D695" s="10"/>
      <c r="E695" s="10"/>
      <c r="F695" s="11"/>
    </row>
    <row r="696" spans="4:6">
      <c r="D696" s="10"/>
      <c r="E696" s="10"/>
      <c r="F696" s="11"/>
    </row>
    <row r="697" spans="4:6">
      <c r="D697" s="10"/>
      <c r="E697" s="10"/>
      <c r="F697" s="11"/>
    </row>
    <row r="698" spans="4:6">
      <c r="D698" s="10"/>
      <c r="E698" s="10"/>
      <c r="F698" s="11"/>
    </row>
    <row r="699" spans="4:6">
      <c r="D699" s="10"/>
      <c r="E699" s="10"/>
      <c r="F699" s="11"/>
    </row>
    <row r="700" spans="4:6">
      <c r="D700" s="10"/>
      <c r="E700" s="10"/>
      <c r="F700" s="11"/>
    </row>
    <row r="701" spans="4:6">
      <c r="D701" s="10"/>
      <c r="E701" s="10"/>
      <c r="F701" s="11"/>
    </row>
    <row r="702" spans="4:6">
      <c r="D702" s="10"/>
      <c r="E702" s="10"/>
      <c r="F702" s="11"/>
    </row>
    <row r="703" spans="4:6">
      <c r="D703" s="10"/>
      <c r="E703" s="10"/>
      <c r="F703" s="11"/>
    </row>
    <row r="704" spans="4:6">
      <c r="D704" s="10"/>
      <c r="E704" s="10"/>
      <c r="F704" s="11"/>
    </row>
    <row r="705" spans="4:6">
      <c r="D705" s="10"/>
      <c r="E705" s="10"/>
      <c r="F705" s="11"/>
    </row>
    <row r="706" spans="4:6">
      <c r="D706" s="10"/>
      <c r="E706" s="10"/>
      <c r="F706" s="11"/>
    </row>
    <row r="707" spans="4:6">
      <c r="D707" s="10"/>
      <c r="E707" s="10"/>
      <c r="F707" s="11"/>
    </row>
    <row r="708" spans="4:6">
      <c r="D708" s="10"/>
      <c r="E708" s="10"/>
      <c r="F708" s="11"/>
    </row>
    <row r="709" spans="4:6">
      <c r="D709" s="10"/>
      <c r="E709" s="10"/>
      <c r="F709" s="11"/>
    </row>
    <row r="710" spans="4:6">
      <c r="D710" s="10"/>
      <c r="E710" s="10"/>
      <c r="F710" s="11"/>
    </row>
    <row r="711" spans="4:6">
      <c r="D711" s="10"/>
      <c r="E711" s="10"/>
      <c r="F711" s="11"/>
    </row>
    <row r="712" spans="4:6">
      <c r="D712" s="10"/>
      <c r="E712" s="10"/>
      <c r="F712" s="11"/>
    </row>
    <row r="713" spans="4:6">
      <c r="D713" s="10"/>
      <c r="E713" s="10"/>
      <c r="F713" s="11"/>
    </row>
    <row r="714" spans="4:6">
      <c r="D714" s="10"/>
      <c r="E714" s="10"/>
      <c r="F714" s="11"/>
    </row>
    <row r="715" spans="4:6">
      <c r="D715" s="10"/>
      <c r="E715" s="10"/>
      <c r="F715" s="11"/>
    </row>
    <row r="716" spans="4:6">
      <c r="D716" s="10"/>
      <c r="E716" s="10"/>
      <c r="F716" s="11"/>
    </row>
    <row r="717" spans="4:6">
      <c r="D717" s="10"/>
      <c r="E717" s="10"/>
      <c r="F717" s="11"/>
    </row>
    <row r="718" spans="4:6">
      <c r="D718" s="10"/>
      <c r="E718" s="10"/>
      <c r="F718" s="11"/>
    </row>
    <row r="719" spans="4:6">
      <c r="D719" s="10"/>
      <c r="E719" s="10"/>
      <c r="F719" s="11"/>
    </row>
    <row r="720" spans="4:6">
      <c r="D720" s="10"/>
      <c r="E720" s="10"/>
      <c r="F720" s="11"/>
    </row>
    <row r="721" spans="4:6">
      <c r="D721" s="10"/>
      <c r="E721" s="10"/>
      <c r="F721" s="11"/>
    </row>
    <row r="722" spans="4:6">
      <c r="D722" s="10"/>
      <c r="E722" s="10"/>
      <c r="F722" s="11"/>
    </row>
    <row r="723" spans="4:6">
      <c r="D723" s="10"/>
      <c r="E723" s="10"/>
      <c r="F723" s="11"/>
    </row>
    <row r="724" spans="4:6">
      <c r="D724" s="10"/>
      <c r="E724" s="10"/>
      <c r="F724" s="11"/>
    </row>
    <row r="725" spans="4:6">
      <c r="D725" s="10"/>
      <c r="E725" s="10"/>
      <c r="F725" s="11"/>
    </row>
    <row r="726" spans="4:6">
      <c r="D726" s="10"/>
      <c r="E726" s="10"/>
      <c r="F726" s="11"/>
    </row>
    <row r="727" spans="4:6">
      <c r="D727" s="10"/>
      <c r="E727" s="10"/>
      <c r="F727" s="11"/>
    </row>
    <row r="728" spans="4:6">
      <c r="D728" s="10"/>
      <c r="E728" s="10"/>
      <c r="F728" s="11"/>
    </row>
    <row r="729" spans="4:6">
      <c r="D729" s="10"/>
      <c r="E729" s="10"/>
      <c r="F729" s="11"/>
    </row>
    <row r="730" spans="4:6">
      <c r="D730" s="10"/>
      <c r="E730" s="10"/>
      <c r="F730" s="11"/>
    </row>
    <row r="731" spans="4:6">
      <c r="D731" s="10"/>
      <c r="E731" s="10"/>
      <c r="F731" s="11"/>
    </row>
    <row r="732" spans="4:6">
      <c r="D732" s="10"/>
      <c r="E732" s="10"/>
      <c r="F732" s="11"/>
    </row>
    <row r="733" spans="4:6">
      <c r="D733" s="10"/>
      <c r="E733" s="10"/>
      <c r="F733" s="11"/>
    </row>
    <row r="734" spans="4:6">
      <c r="D734" s="10"/>
      <c r="E734" s="10"/>
      <c r="F734" s="11"/>
    </row>
    <row r="735" spans="4:6">
      <c r="D735" s="10"/>
      <c r="E735" s="10"/>
      <c r="F735" s="11"/>
    </row>
    <row r="736" spans="4:6">
      <c r="D736" s="10"/>
      <c r="E736" s="10"/>
      <c r="F736" s="11"/>
    </row>
    <row r="737" spans="4:6">
      <c r="D737" s="10"/>
      <c r="E737" s="10"/>
      <c r="F737" s="11"/>
    </row>
    <row r="738" spans="4:6">
      <c r="D738" s="10"/>
      <c r="E738" s="10"/>
      <c r="F738" s="11"/>
    </row>
    <row r="739" spans="4:6">
      <c r="D739" s="10"/>
      <c r="E739" s="10"/>
      <c r="F739" s="11"/>
    </row>
    <row r="740" spans="4:6">
      <c r="D740" s="10"/>
      <c r="E740" s="10"/>
      <c r="F740" s="11"/>
    </row>
    <row r="741" spans="4:6">
      <c r="D741" s="10"/>
      <c r="E741" s="10"/>
      <c r="F741" s="11"/>
    </row>
    <row r="742" spans="4:6">
      <c r="D742" s="10"/>
      <c r="E742" s="10"/>
      <c r="F742" s="11"/>
    </row>
    <row r="743" spans="4:6">
      <c r="D743" s="10"/>
      <c r="E743" s="10"/>
      <c r="F743" s="11"/>
    </row>
    <row r="744" spans="4:6">
      <c r="D744" s="10"/>
      <c r="E744" s="10"/>
      <c r="F744" s="11"/>
    </row>
    <row r="745" spans="4:6">
      <c r="D745" s="10"/>
      <c r="E745" s="10"/>
      <c r="F745" s="11"/>
    </row>
    <row r="746" spans="4:6">
      <c r="D746" s="10"/>
      <c r="E746" s="10"/>
      <c r="F746" s="11"/>
    </row>
    <row r="747" spans="4:6">
      <c r="D747" s="10"/>
      <c r="E747" s="10"/>
      <c r="F747" s="11"/>
    </row>
    <row r="748" spans="4:6">
      <c r="D748" s="10"/>
      <c r="E748" s="10"/>
      <c r="F748" s="11"/>
    </row>
    <row r="749" spans="4:6">
      <c r="D749" s="10"/>
      <c r="E749" s="10"/>
      <c r="F749" s="11"/>
    </row>
    <row r="750" spans="4:6">
      <c r="D750" s="10"/>
      <c r="E750" s="10"/>
      <c r="F750" s="11"/>
    </row>
    <row r="751" spans="4:6">
      <c r="D751" s="10"/>
      <c r="E751" s="10"/>
      <c r="F751" s="11"/>
    </row>
    <row r="752" spans="4:6">
      <c r="D752" s="10"/>
      <c r="E752" s="10"/>
      <c r="F752" s="11"/>
    </row>
    <row r="753" spans="4:6">
      <c r="D753" s="10"/>
      <c r="E753" s="10"/>
      <c r="F753" s="11"/>
    </row>
    <row r="754" spans="4:6">
      <c r="D754" s="10"/>
      <c r="E754" s="10"/>
      <c r="F754" s="11"/>
    </row>
    <row r="755" spans="4:6">
      <c r="D755" s="10"/>
      <c r="E755" s="10"/>
      <c r="F755" s="11"/>
    </row>
    <row r="756" spans="4:6">
      <c r="D756" s="10"/>
      <c r="E756" s="10"/>
      <c r="F756" s="11"/>
    </row>
    <row r="757" spans="4:6">
      <c r="D757" s="10"/>
      <c r="E757" s="10"/>
      <c r="F757" s="11"/>
    </row>
    <row r="758" spans="4:6">
      <c r="D758" s="10"/>
      <c r="E758" s="10"/>
      <c r="F758" s="11"/>
    </row>
    <row r="759" spans="4:6">
      <c r="D759" s="10"/>
      <c r="E759" s="10"/>
      <c r="F759" s="11"/>
    </row>
    <row r="760" spans="4:6">
      <c r="D760" s="10"/>
      <c r="E760" s="10"/>
      <c r="F760" s="11"/>
    </row>
    <row r="761" spans="4:6">
      <c r="D761" s="10"/>
      <c r="E761" s="10"/>
      <c r="F761" s="11"/>
    </row>
    <row r="762" spans="4:6">
      <c r="D762" s="10"/>
      <c r="E762" s="10"/>
      <c r="F762" s="11"/>
    </row>
    <row r="763" spans="4:6">
      <c r="D763" s="10"/>
      <c r="E763" s="10"/>
      <c r="F763" s="11"/>
    </row>
    <row r="764" spans="4:6">
      <c r="D764" s="10"/>
      <c r="E764" s="10"/>
      <c r="F764" s="11"/>
    </row>
    <row r="765" spans="4:6">
      <c r="D765" s="10"/>
      <c r="E765" s="10"/>
      <c r="F765" s="11"/>
    </row>
    <row r="766" spans="4:6">
      <c r="D766" s="10"/>
      <c r="E766" s="10"/>
      <c r="F766" s="11"/>
    </row>
    <row r="767" spans="4:6">
      <c r="D767" s="10"/>
      <c r="E767" s="10"/>
      <c r="F767" s="11"/>
    </row>
    <row r="768" spans="4:6">
      <c r="D768" s="10"/>
      <c r="E768" s="10"/>
      <c r="F768" s="11"/>
    </row>
    <row r="769" spans="4:6">
      <c r="D769" s="10"/>
      <c r="E769" s="10"/>
      <c r="F769" s="11"/>
    </row>
    <row r="770" spans="4:6">
      <c r="D770" s="10"/>
      <c r="E770" s="10"/>
      <c r="F770" s="11"/>
    </row>
    <row r="771" spans="4:6">
      <c r="D771" s="10"/>
      <c r="E771" s="10"/>
      <c r="F771" s="11"/>
    </row>
    <row r="772" spans="4:6">
      <c r="D772" s="10"/>
      <c r="E772" s="10"/>
      <c r="F772" s="11"/>
    </row>
    <row r="773" spans="4:6">
      <c r="D773" s="10"/>
      <c r="E773" s="10"/>
      <c r="F773" s="11"/>
    </row>
    <row r="774" spans="4:6">
      <c r="D774" s="10"/>
      <c r="E774" s="10"/>
      <c r="F774" s="11"/>
    </row>
    <row r="775" spans="4:6">
      <c r="D775" s="10"/>
      <c r="E775" s="10"/>
      <c r="F775" s="11"/>
    </row>
    <row r="776" spans="4:6">
      <c r="D776" s="10"/>
      <c r="E776" s="10"/>
      <c r="F776" s="11"/>
    </row>
    <row r="777" spans="4:6">
      <c r="D777" s="10"/>
      <c r="E777" s="10"/>
      <c r="F777" s="11"/>
    </row>
    <row r="778" spans="4:6">
      <c r="D778" s="10"/>
      <c r="E778" s="10"/>
      <c r="F778" s="11"/>
    </row>
    <row r="779" spans="4:6">
      <c r="D779" s="10"/>
      <c r="E779" s="10"/>
      <c r="F779" s="11"/>
    </row>
    <row r="780" spans="4:6">
      <c r="D780" s="10"/>
      <c r="E780" s="10"/>
      <c r="F780" s="11"/>
    </row>
    <row r="781" spans="4:6">
      <c r="D781" s="10"/>
      <c r="E781" s="10"/>
      <c r="F781" s="11"/>
    </row>
    <row r="782" spans="4:6">
      <c r="D782" s="10"/>
      <c r="E782" s="10"/>
      <c r="F782" s="11"/>
    </row>
    <row r="783" spans="4:6">
      <c r="D783" s="10"/>
      <c r="E783" s="10"/>
      <c r="F783" s="11"/>
    </row>
    <row r="784" spans="4:6">
      <c r="D784" s="10"/>
      <c r="E784" s="10"/>
      <c r="F784" s="11"/>
    </row>
    <row r="785" spans="4:6">
      <c r="D785" s="10"/>
      <c r="E785" s="10"/>
      <c r="F785" s="11"/>
    </row>
    <row r="786" spans="4:6">
      <c r="D786" s="10"/>
      <c r="E786" s="10"/>
      <c r="F786" s="11"/>
    </row>
    <row r="787" spans="4:6">
      <c r="D787" s="10"/>
      <c r="E787" s="10"/>
      <c r="F787" s="11"/>
    </row>
    <row r="788" spans="4:6">
      <c r="D788" s="10"/>
      <c r="E788" s="10"/>
      <c r="F788" s="11"/>
    </row>
    <row r="789" spans="4:6">
      <c r="D789" s="10"/>
      <c r="E789" s="10"/>
      <c r="F789" s="11"/>
    </row>
    <row r="790" spans="4:6">
      <c r="D790" s="10"/>
      <c r="E790" s="10"/>
      <c r="F790" s="11"/>
    </row>
    <row r="791" spans="4:6">
      <c r="D791" s="10"/>
      <c r="E791" s="10"/>
      <c r="F791" s="11"/>
    </row>
    <row r="792" spans="4:6">
      <c r="D792" s="10"/>
      <c r="E792" s="10"/>
      <c r="F792" s="11"/>
    </row>
    <row r="793" spans="4:6">
      <c r="D793" s="10"/>
      <c r="E793" s="10"/>
      <c r="F793" s="11"/>
    </row>
    <row r="794" spans="4:6">
      <c r="D794" s="10"/>
      <c r="E794" s="10"/>
      <c r="F794" s="11"/>
    </row>
    <row r="795" spans="4:6">
      <c r="D795" s="10"/>
      <c r="E795" s="10"/>
      <c r="F795" s="11"/>
    </row>
    <row r="796" spans="4:6">
      <c r="D796" s="10"/>
      <c r="E796" s="10"/>
      <c r="F796" s="11"/>
    </row>
    <row r="797" spans="4:6">
      <c r="D797" s="10"/>
      <c r="E797" s="10"/>
      <c r="F797" s="11"/>
    </row>
    <row r="798" spans="4:6">
      <c r="D798" s="10"/>
      <c r="E798" s="10"/>
      <c r="F798" s="11"/>
    </row>
    <row r="799" spans="4:6">
      <c r="D799" s="10"/>
      <c r="E799" s="10"/>
      <c r="F799" s="11"/>
    </row>
    <row r="800" spans="4:6">
      <c r="D800" s="10"/>
      <c r="E800" s="10"/>
      <c r="F800" s="11"/>
    </row>
    <row r="801" spans="4:6">
      <c r="D801" s="10"/>
      <c r="E801" s="10"/>
      <c r="F801" s="11"/>
    </row>
    <row r="802" spans="4:6">
      <c r="D802" s="10"/>
      <c r="E802" s="10"/>
      <c r="F802" s="11"/>
    </row>
    <row r="803" spans="4:6">
      <c r="D803" s="10"/>
      <c r="E803" s="10"/>
      <c r="F803" s="11"/>
    </row>
    <row r="804" spans="4:6">
      <c r="D804" s="10"/>
      <c r="E804" s="10"/>
      <c r="F804" s="11"/>
    </row>
    <row r="805" spans="4:6">
      <c r="D805" s="10"/>
      <c r="E805" s="10"/>
      <c r="F805" s="11"/>
    </row>
    <row r="806" spans="4:6">
      <c r="D806" s="10"/>
      <c r="E806" s="10"/>
      <c r="F806" s="11"/>
    </row>
    <row r="807" spans="4:6">
      <c r="D807" s="10"/>
      <c r="E807" s="10"/>
      <c r="F807" s="11"/>
    </row>
    <row r="808" spans="4:6">
      <c r="D808" s="10"/>
      <c r="E808" s="10"/>
      <c r="F808" s="11"/>
    </row>
    <row r="809" spans="4:6">
      <c r="D809" s="10"/>
      <c r="E809" s="10"/>
      <c r="F809" s="11"/>
    </row>
    <row r="810" spans="4:6">
      <c r="D810" s="10"/>
      <c r="E810" s="10"/>
      <c r="F810" s="11"/>
    </row>
    <row r="811" spans="4:6">
      <c r="D811" s="10"/>
      <c r="E811" s="10"/>
      <c r="F811" s="11"/>
    </row>
    <row r="812" spans="4:6">
      <c r="D812" s="10"/>
      <c r="E812" s="10"/>
      <c r="F812" s="11"/>
    </row>
    <row r="813" spans="4:6">
      <c r="D813" s="10"/>
      <c r="E813" s="10"/>
      <c r="F813" s="11"/>
    </row>
    <row r="814" spans="4:6">
      <c r="D814" s="10"/>
      <c r="E814" s="10"/>
      <c r="F814" s="11"/>
    </row>
    <row r="815" spans="4:6">
      <c r="D815" s="10"/>
      <c r="E815" s="10"/>
      <c r="F815" s="11"/>
    </row>
    <row r="816" spans="4:6">
      <c r="D816" s="10"/>
      <c r="E816" s="10"/>
      <c r="F816" s="11"/>
    </row>
    <row r="817" spans="4:6">
      <c r="D817" s="10"/>
      <c r="E817" s="10"/>
      <c r="F817" s="11"/>
    </row>
    <row r="818" spans="4:6">
      <c r="D818" s="10"/>
      <c r="E818" s="10"/>
      <c r="F818" s="11"/>
    </row>
    <row r="819" spans="4:6">
      <c r="D819" s="10"/>
      <c r="E819" s="10"/>
      <c r="F819" s="11"/>
    </row>
    <row r="820" spans="4:6">
      <c r="D820" s="10"/>
      <c r="E820" s="10"/>
      <c r="F820" s="11"/>
    </row>
    <row r="821" spans="4:6">
      <c r="D821" s="10"/>
      <c r="E821" s="10"/>
      <c r="F821" s="11"/>
    </row>
    <row r="822" spans="4:6">
      <c r="D822" s="10"/>
      <c r="E822" s="10"/>
      <c r="F822" s="11"/>
    </row>
    <row r="823" spans="4:6">
      <c r="D823" s="10"/>
      <c r="E823" s="10"/>
      <c r="F823" s="11"/>
    </row>
    <row r="824" spans="4:6">
      <c r="D824" s="10"/>
      <c r="E824" s="10"/>
      <c r="F824" s="11"/>
    </row>
    <row r="825" spans="4:6">
      <c r="D825" s="10"/>
      <c r="E825" s="10"/>
      <c r="F825" s="11"/>
    </row>
    <row r="826" spans="4:6">
      <c r="D826" s="10"/>
      <c r="E826" s="10"/>
      <c r="F826" s="11"/>
    </row>
    <row r="827" spans="4:6">
      <c r="D827" s="10"/>
      <c r="E827" s="10"/>
      <c r="F827" s="11"/>
    </row>
    <row r="828" spans="4:6">
      <c r="D828" s="10"/>
      <c r="E828" s="10"/>
      <c r="F828" s="11"/>
    </row>
    <row r="829" spans="4:6">
      <c r="D829" s="10"/>
      <c r="E829" s="10"/>
      <c r="F829" s="11"/>
    </row>
    <row r="830" spans="4:6">
      <c r="D830" s="10"/>
      <c r="E830" s="10"/>
      <c r="F830" s="11"/>
    </row>
    <row r="831" spans="4:6">
      <c r="D831" s="10"/>
      <c r="E831" s="10"/>
      <c r="F831" s="11"/>
    </row>
    <row r="832" spans="4:6">
      <c r="D832" s="10"/>
      <c r="E832" s="10"/>
      <c r="F832" s="11"/>
    </row>
    <row r="833" spans="4:6">
      <c r="D833" s="10"/>
      <c r="E833" s="10"/>
      <c r="F833" s="11"/>
    </row>
    <row r="834" spans="4:6">
      <c r="D834" s="10"/>
      <c r="E834" s="10"/>
      <c r="F834" s="11"/>
    </row>
    <row r="835" spans="4:6">
      <c r="D835" s="10"/>
      <c r="E835" s="10"/>
      <c r="F835" s="11"/>
    </row>
    <row r="836" spans="4:6">
      <c r="D836" s="10"/>
      <c r="E836" s="10"/>
      <c r="F836" s="11"/>
    </row>
    <row r="837" spans="4:6">
      <c r="D837" s="10"/>
      <c r="E837" s="10"/>
      <c r="F837" s="11"/>
    </row>
    <row r="838" spans="4:6">
      <c r="D838" s="10"/>
      <c r="E838" s="10"/>
      <c r="F838" s="11"/>
    </row>
    <row r="839" spans="4:6">
      <c r="D839" s="10"/>
      <c r="E839" s="10"/>
      <c r="F839" s="11"/>
    </row>
    <row r="840" spans="4:6">
      <c r="D840" s="10"/>
      <c r="E840" s="10"/>
      <c r="F840" s="11"/>
    </row>
    <row r="841" spans="4:6">
      <c r="D841" s="10"/>
      <c r="E841" s="10"/>
      <c r="F841" s="11"/>
    </row>
    <row r="842" spans="4:6">
      <c r="D842" s="10"/>
      <c r="E842" s="10"/>
      <c r="F842" s="11"/>
    </row>
    <row r="843" spans="4:6">
      <c r="D843" s="10"/>
      <c r="E843" s="10"/>
      <c r="F843" s="11"/>
    </row>
    <row r="844" spans="4:6">
      <c r="D844" s="10"/>
      <c r="E844" s="10"/>
      <c r="F844" s="11"/>
    </row>
    <row r="845" spans="4:6">
      <c r="D845" s="10"/>
      <c r="E845" s="10"/>
      <c r="F845" s="11"/>
    </row>
    <row r="846" spans="4:6">
      <c r="D846" s="10"/>
      <c r="E846" s="10"/>
      <c r="F846" s="11"/>
    </row>
    <row r="847" spans="4:6">
      <c r="D847" s="10"/>
      <c r="E847" s="10"/>
      <c r="F847" s="11"/>
    </row>
    <row r="848" spans="4:6">
      <c r="D848" s="10"/>
      <c r="E848" s="10"/>
      <c r="F848" s="11"/>
    </row>
    <row r="849" spans="4:6">
      <c r="D849" s="10"/>
      <c r="E849" s="10"/>
      <c r="F849" s="11"/>
    </row>
    <row r="850" spans="4:6">
      <c r="D850" s="10"/>
      <c r="E850" s="10"/>
      <c r="F850" s="11"/>
    </row>
    <row r="851" spans="4:6">
      <c r="D851" s="10"/>
      <c r="E851" s="10"/>
      <c r="F851" s="11"/>
    </row>
    <row r="852" spans="4:6">
      <c r="D852" s="10"/>
      <c r="E852" s="10"/>
      <c r="F852" s="11"/>
    </row>
    <row r="853" spans="4:6">
      <c r="D853" s="10"/>
      <c r="E853" s="10"/>
      <c r="F853" s="11"/>
    </row>
    <row r="854" spans="4:6">
      <c r="D854" s="10"/>
      <c r="E854" s="10"/>
      <c r="F854" s="11"/>
    </row>
    <row r="855" spans="4:6">
      <c r="D855" s="10"/>
      <c r="E855" s="10"/>
      <c r="F855" s="11"/>
    </row>
    <row r="856" spans="4:6">
      <c r="D856" s="10"/>
      <c r="E856" s="10"/>
      <c r="F856" s="11"/>
    </row>
    <row r="857" spans="4:6">
      <c r="D857" s="10"/>
      <c r="E857" s="10"/>
      <c r="F857" s="11"/>
    </row>
    <row r="858" spans="4:6">
      <c r="D858" s="10"/>
      <c r="E858" s="10"/>
      <c r="F858" s="11"/>
    </row>
    <row r="859" spans="4:6">
      <c r="D859" s="10"/>
      <c r="E859" s="10"/>
      <c r="F859" s="11"/>
    </row>
    <row r="860" spans="4:6">
      <c r="D860" s="10"/>
      <c r="E860" s="10"/>
      <c r="F860" s="11"/>
    </row>
    <row r="861" spans="4:6">
      <c r="D861" s="10"/>
      <c r="E861" s="10"/>
      <c r="F861" s="11"/>
    </row>
    <row r="862" spans="4:6">
      <c r="D862" s="10"/>
      <c r="E862" s="10"/>
      <c r="F862" s="11"/>
    </row>
    <row r="863" spans="4:6">
      <c r="D863" s="10"/>
      <c r="E863" s="10"/>
      <c r="F863" s="11"/>
    </row>
    <row r="864" spans="4:6">
      <c r="D864" s="10"/>
      <c r="E864" s="10"/>
      <c r="F864" s="11"/>
    </row>
    <row r="865" spans="4:6">
      <c r="D865" s="10"/>
      <c r="E865" s="10"/>
      <c r="F865" s="11"/>
    </row>
    <row r="866" spans="4:6">
      <c r="D866" s="10"/>
      <c r="E866" s="10"/>
      <c r="F866" s="11"/>
    </row>
    <row r="867" spans="4:6">
      <c r="D867" s="10"/>
      <c r="E867" s="10"/>
      <c r="F867" s="11"/>
    </row>
    <row r="868" spans="4:6">
      <c r="D868" s="10"/>
      <c r="E868" s="10"/>
      <c r="F868" s="11"/>
    </row>
    <row r="869" spans="4:6">
      <c r="D869" s="10"/>
      <c r="E869" s="10"/>
      <c r="F869" s="11"/>
    </row>
    <row r="870" spans="4:6">
      <c r="D870" s="10"/>
      <c r="E870" s="10"/>
      <c r="F870" s="11"/>
    </row>
    <row r="871" spans="4:6">
      <c r="D871" s="10"/>
      <c r="E871" s="10"/>
      <c r="F871" s="11"/>
    </row>
    <row r="872" spans="4:6">
      <c r="D872" s="10"/>
      <c r="E872" s="10"/>
      <c r="F872" s="11"/>
    </row>
    <row r="873" spans="4:6">
      <c r="D873" s="10"/>
      <c r="E873" s="10"/>
      <c r="F873" s="11"/>
    </row>
    <row r="874" spans="4:6">
      <c r="D874" s="10"/>
      <c r="E874" s="10"/>
      <c r="F874" s="11"/>
    </row>
    <row r="875" spans="4:6">
      <c r="D875" s="10"/>
      <c r="E875" s="10"/>
      <c r="F875" s="11"/>
    </row>
    <row r="876" spans="4:6">
      <c r="D876" s="10"/>
      <c r="E876" s="10"/>
      <c r="F876" s="11"/>
    </row>
    <row r="877" spans="4:6">
      <c r="D877" s="10"/>
      <c r="E877" s="10"/>
      <c r="F877" s="11"/>
    </row>
    <row r="878" spans="4:6">
      <c r="D878" s="10"/>
      <c r="E878" s="10"/>
      <c r="F878" s="11"/>
    </row>
    <row r="879" spans="4:6">
      <c r="D879" s="10"/>
      <c r="E879" s="10"/>
      <c r="F879" s="11"/>
    </row>
    <row r="880" spans="4:6">
      <c r="D880" s="10"/>
      <c r="E880" s="10"/>
      <c r="F880" s="11"/>
    </row>
    <row r="881" spans="4:6">
      <c r="D881" s="10"/>
      <c r="E881" s="10"/>
      <c r="F881" s="11"/>
    </row>
    <row r="882" spans="4:6">
      <c r="D882" s="10"/>
      <c r="E882" s="10"/>
      <c r="F882" s="11"/>
    </row>
    <row r="883" spans="4:6">
      <c r="D883" s="10"/>
      <c r="E883" s="10"/>
      <c r="F883" s="11"/>
    </row>
    <row r="884" spans="4:6">
      <c r="D884" s="10"/>
      <c r="E884" s="10"/>
      <c r="F884" s="11"/>
    </row>
    <row r="885" spans="4:6">
      <c r="D885" s="10"/>
      <c r="E885" s="10"/>
      <c r="F885" s="11"/>
    </row>
    <row r="886" spans="4:6">
      <c r="D886" s="10"/>
      <c r="E886" s="10"/>
      <c r="F886" s="11"/>
    </row>
    <row r="887" spans="4:6">
      <c r="D887" s="10"/>
      <c r="E887" s="10"/>
      <c r="F887" s="11"/>
    </row>
    <row r="888" spans="4:6">
      <c r="D888" s="10"/>
      <c r="E888" s="10"/>
      <c r="F888" s="11"/>
    </row>
    <row r="889" spans="4:6">
      <c r="D889" s="10"/>
      <c r="E889" s="10"/>
      <c r="F889" s="11"/>
    </row>
    <row r="890" spans="4:6">
      <c r="D890" s="10"/>
      <c r="E890" s="10"/>
      <c r="F890" s="11"/>
    </row>
    <row r="891" spans="4:6">
      <c r="D891" s="10"/>
      <c r="E891" s="10"/>
      <c r="F891" s="11"/>
    </row>
    <row r="892" spans="4:6">
      <c r="D892" s="10"/>
      <c r="E892" s="10"/>
      <c r="F892" s="11"/>
    </row>
    <row r="893" spans="4:6">
      <c r="D893" s="10"/>
      <c r="E893" s="10"/>
      <c r="F893" s="11"/>
    </row>
    <row r="894" spans="4:6">
      <c r="D894" s="10"/>
      <c r="E894" s="10"/>
      <c r="F894" s="11"/>
    </row>
    <row r="895" spans="4:6">
      <c r="D895" s="10"/>
      <c r="E895" s="10"/>
      <c r="F895" s="11"/>
    </row>
    <row r="896" spans="4:6">
      <c r="D896" s="10"/>
      <c r="E896" s="10"/>
      <c r="F896" s="11"/>
    </row>
    <row r="897" spans="4:6">
      <c r="D897" s="10"/>
      <c r="E897" s="10"/>
      <c r="F897" s="11"/>
    </row>
    <row r="898" spans="4:6">
      <c r="D898" s="10"/>
      <c r="E898" s="10"/>
      <c r="F898" s="11"/>
    </row>
    <row r="899" spans="4:6">
      <c r="D899" s="10"/>
      <c r="E899" s="10"/>
      <c r="F899" s="11"/>
    </row>
    <row r="900" spans="4:6">
      <c r="D900" s="10"/>
      <c r="E900" s="10"/>
      <c r="F900" s="11"/>
    </row>
    <row r="901" spans="4:6">
      <c r="D901" s="10"/>
      <c r="E901" s="10"/>
      <c r="F901" s="11"/>
    </row>
    <row r="902" spans="4:6">
      <c r="D902" s="10"/>
      <c r="E902" s="10"/>
      <c r="F902" s="11"/>
    </row>
    <row r="903" spans="4:6">
      <c r="D903" s="10"/>
      <c r="E903" s="10"/>
      <c r="F903" s="11"/>
    </row>
    <row r="904" spans="4:6">
      <c r="D904" s="10"/>
      <c r="E904" s="10"/>
      <c r="F904" s="11"/>
    </row>
    <row r="905" spans="4:6">
      <c r="D905" s="10"/>
      <c r="E905" s="10"/>
      <c r="F905" s="11"/>
    </row>
    <row r="906" spans="4:6">
      <c r="D906" s="10"/>
      <c r="E906" s="10"/>
      <c r="F906" s="11"/>
    </row>
    <row r="907" spans="4:6">
      <c r="D907" s="10"/>
      <c r="E907" s="10"/>
      <c r="F907" s="11"/>
    </row>
    <row r="908" spans="4:6">
      <c r="D908" s="10"/>
      <c r="E908" s="10"/>
      <c r="F908" s="11"/>
    </row>
    <row r="909" spans="4:6">
      <c r="D909" s="10"/>
      <c r="E909" s="10"/>
      <c r="F909" s="11"/>
    </row>
    <row r="910" spans="4:6">
      <c r="D910" s="10"/>
      <c r="E910" s="10"/>
      <c r="F910" s="11"/>
    </row>
    <row r="911" spans="4:6">
      <c r="D911" s="10"/>
      <c r="E911" s="10"/>
      <c r="F911" s="11"/>
    </row>
    <row r="912" spans="4:6">
      <c r="D912" s="10"/>
      <c r="E912" s="10"/>
      <c r="F912" s="11"/>
    </row>
    <row r="913" spans="4:6">
      <c r="D913" s="10"/>
      <c r="E913" s="10"/>
      <c r="F913" s="11"/>
    </row>
    <row r="914" spans="4:6">
      <c r="D914" s="10"/>
      <c r="E914" s="10"/>
      <c r="F914" s="11"/>
    </row>
    <row r="915" spans="4:6">
      <c r="D915" s="10"/>
      <c r="E915" s="10"/>
      <c r="F915" s="11"/>
    </row>
    <row r="916" spans="4:6">
      <c r="D916" s="10"/>
      <c r="E916" s="10"/>
      <c r="F916" s="11"/>
    </row>
    <row r="917" spans="4:6">
      <c r="D917" s="10"/>
      <c r="E917" s="10"/>
      <c r="F917" s="11"/>
    </row>
    <row r="918" spans="4:6">
      <c r="D918" s="10"/>
      <c r="E918" s="10"/>
      <c r="F918" s="11"/>
    </row>
    <row r="919" spans="4:6">
      <c r="D919" s="10"/>
      <c r="E919" s="10"/>
      <c r="F919" s="11"/>
    </row>
    <row r="920" spans="4:6">
      <c r="D920" s="10"/>
      <c r="E920" s="10"/>
      <c r="F920" s="11"/>
    </row>
    <row r="921" spans="4:6">
      <c r="D921" s="10"/>
      <c r="E921" s="10"/>
      <c r="F921" s="11"/>
    </row>
    <row r="922" spans="4:6">
      <c r="D922" s="10"/>
      <c r="E922" s="10"/>
      <c r="F922" s="11"/>
    </row>
    <row r="923" spans="4:6">
      <c r="D923" s="10"/>
      <c r="E923" s="10"/>
      <c r="F923" s="11"/>
    </row>
    <row r="924" spans="4:6">
      <c r="D924" s="10"/>
      <c r="E924" s="10"/>
      <c r="F924" s="11"/>
    </row>
    <row r="925" spans="4:6">
      <c r="D925" s="10"/>
      <c r="E925" s="10"/>
      <c r="F925" s="11"/>
    </row>
    <row r="926" spans="4:6">
      <c r="D926" s="10"/>
      <c r="E926" s="10"/>
      <c r="F926" s="11"/>
    </row>
    <row r="927" spans="4:6">
      <c r="D927" s="10"/>
      <c r="E927" s="10"/>
      <c r="F927" s="11"/>
    </row>
    <row r="928" spans="4:6">
      <c r="D928" s="10"/>
      <c r="E928" s="10"/>
      <c r="F928" s="11"/>
    </row>
    <row r="929" spans="4:6">
      <c r="D929" s="10"/>
      <c r="E929" s="10"/>
      <c r="F929" s="11"/>
    </row>
    <row r="930" spans="4:6">
      <c r="D930" s="10"/>
      <c r="E930" s="10"/>
      <c r="F930" s="11"/>
    </row>
    <row r="931" spans="4:6">
      <c r="D931" s="10"/>
      <c r="E931" s="10"/>
      <c r="F931" s="11"/>
    </row>
    <row r="932" spans="4:6">
      <c r="D932" s="10"/>
      <c r="E932" s="10"/>
      <c r="F932" s="11"/>
    </row>
    <row r="933" spans="4:6">
      <c r="D933" s="10"/>
      <c r="E933" s="10"/>
      <c r="F933" s="11"/>
    </row>
    <row r="934" spans="4:6">
      <c r="D934" s="10"/>
      <c r="E934" s="10"/>
      <c r="F934" s="11"/>
    </row>
    <row r="935" spans="4:6">
      <c r="D935" s="10"/>
      <c r="E935" s="10"/>
      <c r="F935" s="11"/>
    </row>
    <row r="936" spans="4:6">
      <c r="D936" s="10"/>
      <c r="E936" s="10"/>
      <c r="F936" s="11"/>
    </row>
    <row r="937" spans="4:6">
      <c r="D937" s="10"/>
      <c r="E937" s="10"/>
      <c r="F937" s="11"/>
    </row>
    <row r="938" spans="4:6">
      <c r="D938" s="10"/>
      <c r="E938" s="10"/>
      <c r="F938" s="11"/>
    </row>
    <row r="939" spans="4:6">
      <c r="D939" s="10"/>
      <c r="E939" s="10"/>
      <c r="F939" s="11"/>
    </row>
    <row r="940" spans="4:6">
      <c r="D940" s="10"/>
      <c r="E940" s="10"/>
      <c r="F940" s="11"/>
    </row>
    <row r="941" spans="4:6">
      <c r="D941" s="10"/>
      <c r="E941" s="10"/>
      <c r="F941" s="11"/>
    </row>
    <row r="942" spans="4:6">
      <c r="D942" s="10"/>
      <c r="E942" s="10"/>
      <c r="F942" s="11"/>
    </row>
    <row r="943" spans="4:6">
      <c r="D943" s="10"/>
      <c r="E943" s="10"/>
      <c r="F943" s="11"/>
    </row>
    <row r="944" spans="4:6">
      <c r="D944" s="10"/>
      <c r="E944" s="10"/>
      <c r="F944" s="11"/>
    </row>
    <row r="945" spans="4:6">
      <c r="D945" s="10"/>
      <c r="E945" s="10"/>
      <c r="F945" s="11"/>
    </row>
    <row r="946" spans="4:6">
      <c r="D946" s="10"/>
      <c r="E946" s="10"/>
      <c r="F946" s="11"/>
    </row>
    <row r="947" spans="4:6">
      <c r="D947" s="10"/>
      <c r="E947" s="10"/>
      <c r="F947" s="11"/>
    </row>
    <row r="948" spans="4:6">
      <c r="D948" s="10"/>
      <c r="E948" s="10"/>
      <c r="F948" s="11"/>
    </row>
    <row r="949" spans="4:6">
      <c r="D949" s="10"/>
      <c r="E949" s="10"/>
      <c r="F949" s="11"/>
    </row>
    <row r="950" spans="4:6">
      <c r="D950" s="10"/>
      <c r="E950" s="10"/>
      <c r="F950" s="11"/>
    </row>
    <row r="951" spans="4:6">
      <c r="D951" s="10"/>
      <c r="E951" s="10"/>
      <c r="F951" s="11"/>
    </row>
    <row r="952" spans="4:6">
      <c r="D952" s="10"/>
      <c r="E952" s="10"/>
      <c r="F952" s="11"/>
    </row>
    <row r="953" spans="4:6">
      <c r="D953" s="10"/>
      <c r="E953" s="10"/>
      <c r="F953" s="11"/>
    </row>
    <row r="954" spans="4:6">
      <c r="D954" s="10"/>
      <c r="E954" s="10"/>
      <c r="F954" s="11"/>
    </row>
    <row r="955" spans="4:6">
      <c r="D955" s="10"/>
      <c r="E955" s="10"/>
      <c r="F955" s="11"/>
    </row>
    <row r="956" spans="4:6">
      <c r="D956" s="10"/>
      <c r="E956" s="10"/>
      <c r="F956" s="11"/>
    </row>
    <row r="957" spans="4:6">
      <c r="D957" s="10"/>
      <c r="E957" s="10"/>
      <c r="F957" s="11"/>
    </row>
    <row r="958" spans="4:6">
      <c r="D958" s="10"/>
      <c r="E958" s="10"/>
      <c r="F958" s="11"/>
    </row>
    <row r="959" spans="4:6">
      <c r="D959" s="10"/>
      <c r="E959" s="10"/>
      <c r="F959" s="11"/>
    </row>
    <row r="960" spans="4:6">
      <c r="D960" s="10"/>
      <c r="E960" s="10"/>
      <c r="F960" s="11"/>
    </row>
    <row r="961" spans="4:6">
      <c r="D961" s="10"/>
      <c r="E961" s="10"/>
      <c r="F961" s="11"/>
    </row>
    <row r="962" spans="4:6">
      <c r="D962" s="10"/>
      <c r="E962" s="10"/>
      <c r="F962" s="11"/>
    </row>
    <row r="963" spans="4:6">
      <c r="D963" s="10"/>
      <c r="E963" s="10"/>
      <c r="F963" s="11"/>
    </row>
    <row r="964" spans="4:6">
      <c r="D964" s="10"/>
      <c r="E964" s="10"/>
      <c r="F964" s="11"/>
    </row>
    <row r="965" spans="4:6">
      <c r="D965" s="10"/>
      <c r="E965" s="10"/>
      <c r="F965" s="11"/>
    </row>
    <row r="966" spans="4:6">
      <c r="D966" s="10"/>
      <c r="E966" s="10"/>
      <c r="F966" s="11"/>
    </row>
    <row r="967" spans="4:6">
      <c r="D967" s="10"/>
      <c r="E967" s="10"/>
      <c r="F967" s="11"/>
    </row>
    <row r="968" spans="4:6">
      <c r="D968" s="10"/>
      <c r="E968" s="10"/>
      <c r="F968" s="11"/>
    </row>
    <row r="969" spans="4:6">
      <c r="D969" s="10"/>
      <c r="E969" s="10"/>
      <c r="F969" s="11"/>
    </row>
    <row r="970" spans="4:6">
      <c r="D970" s="10"/>
      <c r="E970" s="10"/>
      <c r="F970" s="11"/>
    </row>
    <row r="971" spans="4:6">
      <c r="D971" s="10"/>
      <c r="E971" s="10"/>
      <c r="F971" s="11"/>
    </row>
    <row r="972" spans="4:6">
      <c r="D972" s="10"/>
      <c r="E972" s="10"/>
      <c r="F972" s="11"/>
    </row>
    <row r="973" spans="4:6">
      <c r="D973" s="10"/>
      <c r="E973" s="10"/>
      <c r="F973" s="11"/>
    </row>
    <row r="974" spans="4:6">
      <c r="D974" s="10"/>
      <c r="E974" s="10"/>
      <c r="F974" s="11"/>
    </row>
    <row r="975" spans="4:6">
      <c r="D975" s="10"/>
      <c r="E975" s="10"/>
      <c r="F975" s="11"/>
    </row>
    <row r="976" spans="4:6">
      <c r="D976" s="10"/>
      <c r="E976" s="10"/>
      <c r="F976" s="11"/>
    </row>
    <row r="977" spans="4:6">
      <c r="D977" s="10"/>
      <c r="E977" s="10"/>
      <c r="F977" s="11"/>
    </row>
    <row r="978" spans="4:6">
      <c r="D978" s="10"/>
      <c r="E978" s="10"/>
      <c r="F978" s="11"/>
    </row>
    <row r="979" spans="4:6">
      <c r="D979" s="10"/>
      <c r="E979" s="10"/>
      <c r="F979" s="11"/>
    </row>
    <row r="980" spans="4:6">
      <c r="D980" s="10"/>
      <c r="E980" s="10"/>
      <c r="F980" s="11"/>
    </row>
    <row r="981" spans="4:6">
      <c r="D981" s="10"/>
      <c r="E981" s="10"/>
      <c r="F981" s="11"/>
    </row>
    <row r="982" spans="4:6">
      <c r="D982" s="10"/>
      <c r="E982" s="10"/>
      <c r="F982" s="11"/>
    </row>
    <row r="983" spans="4:6">
      <c r="D983" s="10"/>
      <c r="E983" s="10"/>
      <c r="F983" s="11"/>
    </row>
    <row r="984" spans="4:6">
      <c r="D984" s="10"/>
      <c r="E984" s="10"/>
      <c r="F984" s="11"/>
    </row>
    <row r="985" spans="4:6">
      <c r="D985" s="10"/>
      <c r="E985" s="10"/>
      <c r="F985" s="11"/>
    </row>
    <row r="986" spans="4:6">
      <c r="D986" s="10"/>
      <c r="E986" s="10"/>
      <c r="F986" s="11"/>
    </row>
    <row r="987" spans="4:6">
      <c r="D987" s="10"/>
      <c r="E987" s="10"/>
      <c r="F987" s="11"/>
    </row>
    <row r="988" spans="4:6">
      <c r="D988" s="10"/>
      <c r="E988" s="10"/>
      <c r="F988" s="11"/>
    </row>
    <row r="989" spans="4:6">
      <c r="D989" s="10"/>
      <c r="E989" s="10"/>
      <c r="F989" s="11"/>
    </row>
    <row r="990" spans="4:6">
      <c r="D990" s="10"/>
      <c r="E990" s="10"/>
      <c r="F990" s="11"/>
    </row>
    <row r="991" spans="4:6">
      <c r="D991" s="10"/>
      <c r="E991" s="10"/>
      <c r="F991" s="11"/>
    </row>
    <row r="992" spans="4:6">
      <c r="D992" s="10"/>
      <c r="E992" s="10"/>
      <c r="F992" s="11"/>
    </row>
    <row r="993" spans="4:6">
      <c r="D993" s="10"/>
      <c r="E993" s="10"/>
      <c r="F993" s="11"/>
    </row>
    <row r="994" spans="4:6">
      <c r="D994" s="10"/>
      <c r="E994" s="10"/>
      <c r="F994" s="11"/>
    </row>
    <row r="995" spans="4:6">
      <c r="D995" s="10"/>
      <c r="E995" s="10"/>
      <c r="F995" s="11"/>
    </row>
    <row r="996" spans="4:6">
      <c r="D996" s="10"/>
      <c r="E996" s="10"/>
      <c r="F996" s="11"/>
    </row>
    <row r="997" spans="4:6">
      <c r="D997" s="10"/>
      <c r="E997" s="10"/>
      <c r="F997" s="11"/>
    </row>
    <row r="998" spans="4:6">
      <c r="D998" s="10"/>
      <c r="E998" s="10"/>
      <c r="F998" s="11"/>
    </row>
    <row r="999" spans="4:6">
      <c r="D999" s="10"/>
      <c r="E999" s="10"/>
      <c r="F999" s="11"/>
    </row>
    <row r="1000" spans="4:6">
      <c r="D1000" s="10"/>
      <c r="E1000" s="10"/>
      <c r="F1000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abSelected="1" topLeftCell="A37" workbookViewId="0"/>
  </sheetViews>
  <sheetFormatPr defaultColWidth="14.42578125" defaultRowHeight="15.75" customHeight="1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>
        <v>0.40931712962962963</v>
      </c>
      <c r="B2" s="4" t="s">
        <v>12</v>
      </c>
      <c r="C2" s="4" t="s">
        <v>7</v>
      </c>
      <c r="D2" s="12">
        <v>63.9</v>
      </c>
      <c r="E2" s="12">
        <v>1</v>
      </c>
      <c r="F2" s="13">
        <f t="shared" ref="F2:F44" si="0">IF(C2="Продажа",D2*E2,-D2*E2)</f>
        <v>63.9</v>
      </c>
    </row>
    <row r="3" spans="1:6">
      <c r="A3" s="7">
        <v>0.40931712962962963</v>
      </c>
      <c r="B3" s="4" t="s">
        <v>12</v>
      </c>
      <c r="C3" s="4" t="s">
        <v>7</v>
      </c>
      <c r="D3" s="12">
        <v>63.9</v>
      </c>
      <c r="E3" s="12">
        <v>1</v>
      </c>
      <c r="F3" s="13">
        <f t="shared" si="0"/>
        <v>63.9</v>
      </c>
    </row>
    <row r="4" spans="1:6">
      <c r="A4" s="7">
        <v>0.40931712962962963</v>
      </c>
      <c r="B4" s="4" t="s">
        <v>12</v>
      </c>
      <c r="C4" s="4" t="s">
        <v>7</v>
      </c>
      <c r="D4" s="12">
        <v>63.9</v>
      </c>
      <c r="E4" s="12">
        <v>1</v>
      </c>
      <c r="F4" s="13">
        <f t="shared" si="0"/>
        <v>63.9</v>
      </c>
    </row>
    <row r="5" spans="1:6">
      <c r="A5" s="7">
        <v>0.40931712962962963</v>
      </c>
      <c r="B5" s="4" t="s">
        <v>12</v>
      </c>
      <c r="C5" s="4" t="s">
        <v>7</v>
      </c>
      <c r="D5" s="12">
        <v>63.9</v>
      </c>
      <c r="E5" s="12">
        <v>1</v>
      </c>
      <c r="F5" s="13">
        <f t="shared" si="0"/>
        <v>63.9</v>
      </c>
    </row>
    <row r="6" spans="1:6">
      <c r="A6" s="7">
        <v>0.40931712962962963</v>
      </c>
      <c r="B6" s="4" t="s">
        <v>12</v>
      </c>
      <c r="C6" s="4" t="s">
        <v>7</v>
      </c>
      <c r="D6" s="12">
        <v>63.9</v>
      </c>
      <c r="E6" s="12">
        <v>1</v>
      </c>
      <c r="F6" s="13">
        <f t="shared" si="0"/>
        <v>63.9</v>
      </c>
    </row>
    <row r="7" spans="1:6">
      <c r="A7" s="7">
        <v>0.40931712962962963</v>
      </c>
      <c r="B7" s="4" t="s">
        <v>12</v>
      </c>
      <c r="C7" s="4" t="s">
        <v>7</v>
      </c>
      <c r="D7" s="12">
        <v>63.9</v>
      </c>
      <c r="E7" s="12">
        <v>6</v>
      </c>
      <c r="F7" s="13">
        <f t="shared" si="0"/>
        <v>383.4</v>
      </c>
    </row>
    <row r="8" spans="1:6">
      <c r="A8" s="7">
        <v>0.40931712962962963</v>
      </c>
      <c r="B8" s="4" t="s">
        <v>12</v>
      </c>
      <c r="C8" s="4" t="s">
        <v>7</v>
      </c>
      <c r="D8" s="12">
        <v>63.9</v>
      </c>
      <c r="E8" s="12">
        <v>3</v>
      </c>
      <c r="F8" s="13">
        <f t="shared" si="0"/>
        <v>191.7</v>
      </c>
    </row>
    <row r="9" spans="1:6">
      <c r="A9" s="7">
        <v>0.40788194444444442</v>
      </c>
      <c r="B9" s="4" t="s">
        <v>12</v>
      </c>
      <c r="C9" s="4" t="s">
        <v>7</v>
      </c>
      <c r="D9" s="12">
        <v>63.9</v>
      </c>
      <c r="E9" s="12">
        <v>1</v>
      </c>
      <c r="F9" s="13">
        <f t="shared" si="0"/>
        <v>63.9</v>
      </c>
    </row>
    <row r="10" spans="1:6">
      <c r="A10" s="7">
        <v>0.40115740740740741</v>
      </c>
      <c r="B10" s="4" t="s">
        <v>12</v>
      </c>
      <c r="C10" s="4" t="s">
        <v>8</v>
      </c>
      <c r="D10" s="12">
        <v>63.79</v>
      </c>
      <c r="E10" s="12">
        <v>15</v>
      </c>
      <c r="F10" s="13">
        <f t="shared" si="0"/>
        <v>-956.85</v>
      </c>
    </row>
    <row r="11" spans="1:6">
      <c r="A11" s="7">
        <v>0.39413194444444444</v>
      </c>
      <c r="B11" s="4" t="s">
        <v>12</v>
      </c>
      <c r="C11" s="4" t="s">
        <v>7</v>
      </c>
      <c r="D11" s="12">
        <v>64.040000000000006</v>
      </c>
      <c r="E11" s="12">
        <v>12</v>
      </c>
      <c r="F11" s="13">
        <f t="shared" si="0"/>
        <v>768.48</v>
      </c>
    </row>
    <row r="12" spans="1:6">
      <c r="A12" s="7">
        <v>0.3941087962962963</v>
      </c>
      <c r="B12" s="4" t="s">
        <v>12</v>
      </c>
      <c r="C12" s="4" t="s">
        <v>7</v>
      </c>
      <c r="D12" s="12">
        <v>64.040000000000006</v>
      </c>
      <c r="E12" s="12">
        <v>2</v>
      </c>
      <c r="F12" s="13">
        <f t="shared" si="0"/>
        <v>128.08000000000001</v>
      </c>
    </row>
    <row r="13" spans="1:6">
      <c r="A13" s="7">
        <v>0.39401620370370372</v>
      </c>
      <c r="B13" s="4" t="s">
        <v>12</v>
      </c>
      <c r="C13" s="4" t="s">
        <v>7</v>
      </c>
      <c r="D13" s="12">
        <v>64.040000000000006</v>
      </c>
      <c r="E13" s="12">
        <v>2</v>
      </c>
      <c r="F13" s="13">
        <f t="shared" si="0"/>
        <v>128.08000000000001</v>
      </c>
    </row>
    <row r="14" spans="1:6">
      <c r="A14" s="7">
        <v>0.39396990740740739</v>
      </c>
      <c r="B14" s="4" t="s">
        <v>12</v>
      </c>
      <c r="C14" s="4" t="s">
        <v>7</v>
      </c>
      <c r="D14" s="12">
        <v>64.040000000000006</v>
      </c>
      <c r="E14" s="12">
        <v>1</v>
      </c>
      <c r="F14" s="13">
        <f t="shared" si="0"/>
        <v>64.040000000000006</v>
      </c>
    </row>
    <row r="15" spans="1:6">
      <c r="A15" s="7">
        <v>0.39181712962962961</v>
      </c>
      <c r="B15" s="4" t="s">
        <v>12</v>
      </c>
      <c r="C15" s="4" t="s">
        <v>8</v>
      </c>
      <c r="D15" s="12">
        <v>64.02</v>
      </c>
      <c r="E15" s="12">
        <v>15</v>
      </c>
      <c r="F15" s="13">
        <f t="shared" si="0"/>
        <v>-960.3</v>
      </c>
    </row>
    <row r="16" spans="1:6">
      <c r="A16" s="7">
        <v>0.39181712962962961</v>
      </c>
      <c r="B16" s="4" t="s">
        <v>12</v>
      </c>
      <c r="C16" s="4" t="s">
        <v>8</v>
      </c>
      <c r="D16" s="12">
        <v>64.02</v>
      </c>
      <c r="E16" s="12">
        <v>2</v>
      </c>
      <c r="F16" s="13">
        <f t="shared" si="0"/>
        <v>-128.04</v>
      </c>
    </row>
    <row r="17" spans="1:6">
      <c r="A17" s="7">
        <v>0.30041666666666667</v>
      </c>
      <c r="B17" s="4" t="s">
        <v>9</v>
      </c>
      <c r="C17" s="4" t="s">
        <v>7</v>
      </c>
      <c r="D17" s="12">
        <v>26.02</v>
      </c>
      <c r="E17" s="12">
        <v>9</v>
      </c>
      <c r="F17" s="13">
        <f t="shared" si="0"/>
        <v>234.18</v>
      </c>
    </row>
    <row r="18" spans="1:6">
      <c r="A18" s="7">
        <v>0.30041666666666667</v>
      </c>
      <c r="B18" s="4" t="s">
        <v>9</v>
      </c>
      <c r="C18" s="4" t="s">
        <v>7</v>
      </c>
      <c r="D18" s="12">
        <v>26.02</v>
      </c>
      <c r="E18" s="12">
        <v>50</v>
      </c>
      <c r="F18" s="13">
        <f t="shared" si="0"/>
        <v>1301</v>
      </c>
    </row>
    <row r="19" spans="1:6">
      <c r="A19" s="7">
        <v>0.30018518518518517</v>
      </c>
      <c r="B19" s="4" t="s">
        <v>9</v>
      </c>
      <c r="C19" s="4" t="s">
        <v>7</v>
      </c>
      <c r="D19" s="12">
        <v>26.02</v>
      </c>
      <c r="E19" s="12">
        <v>4</v>
      </c>
      <c r="F19" s="13">
        <f t="shared" si="0"/>
        <v>104.08</v>
      </c>
    </row>
    <row r="20" spans="1:6">
      <c r="A20" s="7">
        <v>0.30018518518518517</v>
      </c>
      <c r="B20" s="4" t="s">
        <v>9</v>
      </c>
      <c r="C20" s="4" t="s">
        <v>7</v>
      </c>
      <c r="D20" s="12">
        <v>26.02</v>
      </c>
      <c r="E20" s="12">
        <v>4</v>
      </c>
      <c r="F20" s="13">
        <f t="shared" si="0"/>
        <v>104.08</v>
      </c>
    </row>
    <row r="21" spans="1:6">
      <c r="A21" s="7">
        <v>0.30018518518518517</v>
      </c>
      <c r="B21" s="4" t="s">
        <v>9</v>
      </c>
      <c r="C21" s="4" t="s">
        <v>7</v>
      </c>
      <c r="D21" s="12">
        <v>26.02</v>
      </c>
      <c r="E21" s="12">
        <v>1</v>
      </c>
      <c r="F21" s="13">
        <f t="shared" si="0"/>
        <v>26.02</v>
      </c>
    </row>
    <row r="22" spans="1:6">
      <c r="A22" s="7">
        <v>0.30018518518518517</v>
      </c>
      <c r="B22" s="4" t="s">
        <v>9</v>
      </c>
      <c r="C22" s="4" t="s">
        <v>7</v>
      </c>
      <c r="D22" s="12">
        <v>26.02</v>
      </c>
      <c r="E22" s="12">
        <v>21</v>
      </c>
      <c r="F22" s="13">
        <f t="shared" si="0"/>
        <v>546.41999999999996</v>
      </c>
    </row>
    <row r="23" spans="1:6">
      <c r="A23" s="7">
        <v>0.30018518518518517</v>
      </c>
      <c r="B23" s="4" t="s">
        <v>9</v>
      </c>
      <c r="C23" s="4" t="s">
        <v>7</v>
      </c>
      <c r="D23" s="12">
        <v>26.02</v>
      </c>
      <c r="E23" s="12">
        <v>3</v>
      </c>
      <c r="F23" s="13">
        <f t="shared" si="0"/>
        <v>78.06</v>
      </c>
    </row>
    <row r="24" spans="1:6">
      <c r="A24" s="7">
        <v>0.30018518518518517</v>
      </c>
      <c r="B24" s="4" t="s">
        <v>9</v>
      </c>
      <c r="C24" s="4" t="s">
        <v>7</v>
      </c>
      <c r="D24" s="12">
        <v>26.02</v>
      </c>
      <c r="E24" s="12">
        <v>4</v>
      </c>
      <c r="F24" s="13">
        <f t="shared" si="0"/>
        <v>104.08</v>
      </c>
    </row>
    <row r="25" spans="1:6">
      <c r="A25" s="7">
        <v>0.29974537037037036</v>
      </c>
      <c r="B25" s="4" t="s">
        <v>9</v>
      </c>
      <c r="C25" s="4" t="s">
        <v>7</v>
      </c>
      <c r="D25" s="12">
        <v>26.02</v>
      </c>
      <c r="E25" s="12">
        <v>10</v>
      </c>
      <c r="F25" s="13">
        <f t="shared" si="0"/>
        <v>260.2</v>
      </c>
    </row>
    <row r="26" spans="1:6">
      <c r="A26" s="7">
        <v>0.299375</v>
      </c>
      <c r="B26" s="4" t="s">
        <v>9</v>
      </c>
      <c r="C26" s="4" t="s">
        <v>7</v>
      </c>
      <c r="D26" s="12">
        <v>26.02</v>
      </c>
      <c r="E26" s="12">
        <v>1</v>
      </c>
      <c r="F26" s="13">
        <f t="shared" si="0"/>
        <v>26.02</v>
      </c>
    </row>
    <row r="27" spans="1:6">
      <c r="A27" s="7">
        <v>0.29931712962962964</v>
      </c>
      <c r="B27" s="4" t="s">
        <v>9</v>
      </c>
      <c r="C27" s="4" t="s">
        <v>7</v>
      </c>
      <c r="D27" s="12">
        <v>26.02</v>
      </c>
      <c r="E27" s="12">
        <v>1</v>
      </c>
      <c r="F27" s="13">
        <f t="shared" si="0"/>
        <v>26.02</v>
      </c>
    </row>
    <row r="28" spans="1:6">
      <c r="A28" s="7">
        <v>0.29917824074074073</v>
      </c>
      <c r="B28" s="4" t="s">
        <v>9</v>
      </c>
      <c r="C28" s="4" t="s">
        <v>7</v>
      </c>
      <c r="D28" s="12">
        <v>26.02</v>
      </c>
      <c r="E28" s="12">
        <v>1</v>
      </c>
      <c r="F28" s="13">
        <f t="shared" si="0"/>
        <v>26.02</v>
      </c>
    </row>
    <row r="29" spans="1:6">
      <c r="A29" s="7">
        <v>0.29917824074074073</v>
      </c>
      <c r="B29" s="4" t="s">
        <v>9</v>
      </c>
      <c r="C29" s="4" t="s">
        <v>7</v>
      </c>
      <c r="D29" s="12">
        <v>26.02</v>
      </c>
      <c r="E29" s="12">
        <v>1</v>
      </c>
      <c r="F29" s="13">
        <f t="shared" si="0"/>
        <v>26.02</v>
      </c>
    </row>
    <row r="30" spans="1:6">
      <c r="A30" s="7">
        <v>0.29900462962962965</v>
      </c>
      <c r="B30" s="4" t="s">
        <v>9</v>
      </c>
      <c r="C30" s="4" t="s">
        <v>7</v>
      </c>
      <c r="D30" s="12">
        <v>26.02</v>
      </c>
      <c r="E30" s="12">
        <v>10</v>
      </c>
      <c r="F30" s="13">
        <f t="shared" si="0"/>
        <v>260.2</v>
      </c>
    </row>
    <row r="31" spans="1:6">
      <c r="A31" s="7">
        <v>0.29900462962962965</v>
      </c>
      <c r="B31" s="4" t="s">
        <v>9</v>
      </c>
      <c r="C31" s="4" t="s">
        <v>7</v>
      </c>
      <c r="D31" s="12">
        <v>26.02</v>
      </c>
      <c r="E31" s="12">
        <v>10</v>
      </c>
      <c r="F31" s="13">
        <f t="shared" si="0"/>
        <v>260.2</v>
      </c>
    </row>
    <row r="32" spans="1:6">
      <c r="A32" s="7">
        <v>0.29899305555555555</v>
      </c>
      <c r="B32" s="4" t="s">
        <v>9</v>
      </c>
      <c r="C32" s="4" t="s">
        <v>7</v>
      </c>
      <c r="D32" s="12">
        <v>26.02</v>
      </c>
      <c r="E32" s="12">
        <v>10</v>
      </c>
      <c r="F32" s="13">
        <f t="shared" si="0"/>
        <v>260.2</v>
      </c>
    </row>
    <row r="33" spans="1:6">
      <c r="A33" s="7">
        <v>0.29899305555555555</v>
      </c>
      <c r="B33" s="4" t="s">
        <v>9</v>
      </c>
      <c r="C33" s="4" t="s">
        <v>7</v>
      </c>
      <c r="D33" s="12">
        <v>26.02</v>
      </c>
      <c r="E33" s="12">
        <v>10</v>
      </c>
      <c r="F33" s="13">
        <f t="shared" si="0"/>
        <v>260.2</v>
      </c>
    </row>
    <row r="34" spans="1:6">
      <c r="A34" s="7">
        <v>0.29898148148148146</v>
      </c>
      <c r="B34" s="4" t="s">
        <v>9</v>
      </c>
      <c r="C34" s="4" t="s">
        <v>7</v>
      </c>
      <c r="D34" s="12">
        <v>26.02</v>
      </c>
      <c r="E34" s="12">
        <v>10</v>
      </c>
      <c r="F34" s="13">
        <f t="shared" si="0"/>
        <v>260.2</v>
      </c>
    </row>
    <row r="35" spans="1:6">
      <c r="A35" s="7">
        <v>0.29898148148148146</v>
      </c>
      <c r="B35" s="4" t="s">
        <v>9</v>
      </c>
      <c r="C35" s="4" t="s">
        <v>7</v>
      </c>
      <c r="D35" s="12">
        <v>26.02</v>
      </c>
      <c r="E35" s="12">
        <v>10</v>
      </c>
      <c r="F35" s="13">
        <f t="shared" si="0"/>
        <v>260.2</v>
      </c>
    </row>
    <row r="36" spans="1:6">
      <c r="A36" s="7">
        <v>0.29893518518518519</v>
      </c>
      <c r="B36" s="4" t="s">
        <v>9</v>
      </c>
      <c r="C36" s="4" t="s">
        <v>7</v>
      </c>
      <c r="D36" s="12">
        <v>26.02</v>
      </c>
      <c r="E36" s="12">
        <v>28</v>
      </c>
      <c r="F36" s="13">
        <f t="shared" si="0"/>
        <v>728.56</v>
      </c>
    </row>
    <row r="37" spans="1:6">
      <c r="A37" s="7">
        <v>0.2989236111111111</v>
      </c>
      <c r="B37" s="4" t="s">
        <v>9</v>
      </c>
      <c r="C37" s="4" t="s">
        <v>7</v>
      </c>
      <c r="D37" s="12">
        <v>26.02</v>
      </c>
      <c r="E37" s="12">
        <v>1</v>
      </c>
      <c r="F37" s="13">
        <f t="shared" si="0"/>
        <v>26.02</v>
      </c>
    </row>
    <row r="38" spans="1:6">
      <c r="A38" s="7">
        <v>0.29887731481481483</v>
      </c>
      <c r="B38" s="4" t="s">
        <v>9</v>
      </c>
      <c r="C38" s="4" t="s">
        <v>7</v>
      </c>
      <c r="D38" s="12">
        <v>26.02</v>
      </c>
      <c r="E38" s="12">
        <v>1</v>
      </c>
      <c r="F38" s="13">
        <f t="shared" si="0"/>
        <v>26.02</v>
      </c>
    </row>
    <row r="39" spans="1:6">
      <c r="A39" s="7">
        <v>0.29856481481481484</v>
      </c>
      <c r="B39" s="4" t="s">
        <v>9</v>
      </c>
      <c r="C39" s="4" t="s">
        <v>7</v>
      </c>
      <c r="D39" s="12">
        <v>25.99</v>
      </c>
      <c r="E39" s="12">
        <v>200</v>
      </c>
      <c r="F39" s="13">
        <f t="shared" si="0"/>
        <v>5198</v>
      </c>
    </row>
    <row r="40" spans="1:6">
      <c r="A40" s="7">
        <v>0.29847222222222225</v>
      </c>
      <c r="B40" s="4" t="s">
        <v>9</v>
      </c>
      <c r="C40" s="4" t="s">
        <v>7</v>
      </c>
      <c r="D40" s="12">
        <v>25.98</v>
      </c>
      <c r="E40" s="12">
        <v>200</v>
      </c>
      <c r="F40" s="13">
        <f t="shared" si="0"/>
        <v>5196</v>
      </c>
    </row>
    <row r="41" spans="1:6">
      <c r="A41" s="7">
        <v>0.29685185185185187</v>
      </c>
      <c r="B41" s="4" t="s">
        <v>9</v>
      </c>
      <c r="C41" s="4" t="s">
        <v>7</v>
      </c>
      <c r="D41" s="12">
        <v>25.97</v>
      </c>
      <c r="E41" s="12">
        <v>2</v>
      </c>
      <c r="F41" s="13">
        <f t="shared" si="0"/>
        <v>51.94</v>
      </c>
    </row>
    <row r="42" spans="1:6">
      <c r="A42" s="7">
        <v>0.29680555555555554</v>
      </c>
      <c r="B42" s="4" t="s">
        <v>9</v>
      </c>
      <c r="C42" s="4" t="s">
        <v>7</v>
      </c>
      <c r="D42" s="12">
        <v>25.97</v>
      </c>
      <c r="E42" s="12">
        <v>198</v>
      </c>
      <c r="F42" s="13">
        <f t="shared" si="0"/>
        <v>5142.0599999999995</v>
      </c>
    </row>
    <row r="43" spans="1:6">
      <c r="A43" s="7">
        <v>0.29625000000000001</v>
      </c>
      <c r="B43" s="4" t="s">
        <v>9</v>
      </c>
      <c r="C43" s="4" t="s">
        <v>7</v>
      </c>
      <c r="D43" s="12">
        <v>25.96</v>
      </c>
      <c r="E43" s="12">
        <v>200</v>
      </c>
      <c r="F43" s="13">
        <f t="shared" si="0"/>
        <v>5192</v>
      </c>
    </row>
    <row r="44" spans="1:6">
      <c r="A44" s="7">
        <v>0.29545138888888889</v>
      </c>
      <c r="B44" s="4" t="s">
        <v>9</v>
      </c>
      <c r="C44" s="4" t="s">
        <v>8</v>
      </c>
      <c r="D44" s="12">
        <v>25.95</v>
      </c>
      <c r="E44" s="4">
        <v>1000</v>
      </c>
      <c r="F44" s="13">
        <f t="shared" si="0"/>
        <v>-25950</v>
      </c>
    </row>
    <row r="45" spans="1:6" ht="15.75" customHeight="1">
      <c r="F45" s="14">
        <f>SUM(F2:F44)</f>
        <v>35.989999999997963</v>
      </c>
    </row>
    <row r="46" spans="1:6">
      <c r="F46" s="11"/>
    </row>
    <row r="47" spans="1:6">
      <c r="F47" s="11"/>
    </row>
    <row r="48" spans="1:6">
      <c r="F48" s="11"/>
    </row>
    <row r="49" spans="6:6">
      <c r="F49" s="11"/>
    </row>
    <row r="50" spans="6:6">
      <c r="F50" s="11"/>
    </row>
    <row r="51" spans="6:6">
      <c r="F51" s="11"/>
    </row>
    <row r="52" spans="6:6">
      <c r="F52" s="11"/>
    </row>
    <row r="53" spans="6:6">
      <c r="F53" s="11"/>
    </row>
    <row r="54" spans="6:6">
      <c r="F54" s="11"/>
    </row>
    <row r="55" spans="6:6">
      <c r="F55" s="11"/>
    </row>
    <row r="56" spans="6:6">
      <c r="F56" s="11"/>
    </row>
    <row r="57" spans="6:6">
      <c r="F57" s="11"/>
    </row>
    <row r="58" spans="6:6">
      <c r="F58" s="11"/>
    </row>
    <row r="59" spans="6:6">
      <c r="F59" s="11"/>
    </row>
    <row r="60" spans="6:6">
      <c r="F60" s="11"/>
    </row>
    <row r="61" spans="6:6">
      <c r="F61" s="11"/>
    </row>
    <row r="62" spans="6:6">
      <c r="F62" s="11"/>
    </row>
    <row r="63" spans="6:6">
      <c r="F63" s="11"/>
    </row>
    <row r="64" spans="6:6">
      <c r="F64" s="11"/>
    </row>
    <row r="65" spans="6:6">
      <c r="F65" s="11"/>
    </row>
    <row r="66" spans="6:6">
      <c r="F66" s="11"/>
    </row>
    <row r="67" spans="6:6">
      <c r="F67" s="11"/>
    </row>
    <row r="68" spans="6:6">
      <c r="F68" s="11"/>
    </row>
    <row r="69" spans="6:6">
      <c r="F69" s="11"/>
    </row>
    <row r="70" spans="6:6">
      <c r="F70" s="11"/>
    </row>
    <row r="71" spans="6:6">
      <c r="F71" s="11"/>
    </row>
    <row r="72" spans="6:6">
      <c r="F72" s="11"/>
    </row>
    <row r="73" spans="6:6">
      <c r="F73" s="11"/>
    </row>
    <row r="74" spans="6:6">
      <c r="F74" s="11"/>
    </row>
    <row r="75" spans="6:6">
      <c r="F75" s="11"/>
    </row>
    <row r="76" spans="6:6">
      <c r="F76" s="11"/>
    </row>
    <row r="77" spans="6:6">
      <c r="F77" s="11"/>
    </row>
    <row r="78" spans="6:6">
      <c r="F78" s="11"/>
    </row>
    <row r="79" spans="6:6">
      <c r="F79" s="11"/>
    </row>
    <row r="80" spans="6:6">
      <c r="F80" s="11"/>
    </row>
    <row r="81" spans="6:6">
      <c r="F81" s="11"/>
    </row>
    <row r="82" spans="6:6">
      <c r="F82" s="11"/>
    </row>
    <row r="83" spans="6:6">
      <c r="F83" s="11"/>
    </row>
    <row r="84" spans="6:6">
      <c r="F84" s="11"/>
    </row>
    <row r="85" spans="6:6">
      <c r="F85" s="11"/>
    </row>
    <row r="86" spans="6:6">
      <c r="F86" s="11"/>
    </row>
    <row r="87" spans="6:6">
      <c r="F87" s="11"/>
    </row>
    <row r="88" spans="6:6">
      <c r="F88" s="11"/>
    </row>
    <row r="89" spans="6:6">
      <c r="F89" s="11"/>
    </row>
    <row r="90" spans="6:6">
      <c r="F90" s="11"/>
    </row>
    <row r="91" spans="6:6">
      <c r="F91" s="11"/>
    </row>
    <row r="92" spans="6:6">
      <c r="F92" s="11"/>
    </row>
    <row r="93" spans="6:6">
      <c r="F93" s="11"/>
    </row>
    <row r="94" spans="6:6">
      <c r="F94" s="11"/>
    </row>
    <row r="95" spans="6:6">
      <c r="F95" s="11"/>
    </row>
    <row r="96" spans="6:6">
      <c r="F96" s="11"/>
    </row>
    <row r="97" spans="6:6">
      <c r="F97" s="11"/>
    </row>
    <row r="98" spans="6:6">
      <c r="F98" s="11"/>
    </row>
    <row r="99" spans="6:6">
      <c r="F99" s="11"/>
    </row>
    <row r="100" spans="6:6">
      <c r="F100" s="11"/>
    </row>
    <row r="101" spans="6:6">
      <c r="F101" s="11"/>
    </row>
    <row r="102" spans="6:6">
      <c r="F102" s="11"/>
    </row>
    <row r="103" spans="6:6">
      <c r="F103" s="11"/>
    </row>
    <row r="104" spans="6:6">
      <c r="F104" s="11"/>
    </row>
    <row r="105" spans="6:6">
      <c r="F105" s="11"/>
    </row>
    <row r="106" spans="6:6">
      <c r="F106" s="11"/>
    </row>
    <row r="107" spans="6:6">
      <c r="F107" s="11"/>
    </row>
    <row r="108" spans="6:6">
      <c r="F108" s="11"/>
    </row>
    <row r="109" spans="6:6">
      <c r="F109" s="11"/>
    </row>
    <row r="110" spans="6:6">
      <c r="F110" s="11"/>
    </row>
    <row r="111" spans="6:6">
      <c r="F111" s="11"/>
    </row>
    <row r="112" spans="6:6">
      <c r="F112" s="11"/>
    </row>
    <row r="113" spans="6:6">
      <c r="F113" s="11"/>
    </row>
    <row r="114" spans="6:6">
      <c r="F114" s="11"/>
    </row>
    <row r="115" spans="6:6">
      <c r="F115" s="11"/>
    </row>
    <row r="116" spans="6:6">
      <c r="F116" s="11"/>
    </row>
    <row r="117" spans="6:6">
      <c r="F117" s="11"/>
    </row>
    <row r="118" spans="6:6">
      <c r="F118" s="11"/>
    </row>
    <row r="119" spans="6:6">
      <c r="F119" s="11"/>
    </row>
    <row r="120" spans="6:6">
      <c r="F120" s="11"/>
    </row>
    <row r="121" spans="6:6">
      <c r="F121" s="11"/>
    </row>
    <row r="122" spans="6:6">
      <c r="F122" s="11"/>
    </row>
    <row r="123" spans="6:6">
      <c r="F123" s="11"/>
    </row>
    <row r="124" spans="6:6">
      <c r="F124" s="11"/>
    </row>
    <row r="125" spans="6:6">
      <c r="F125" s="11"/>
    </row>
    <row r="126" spans="6:6">
      <c r="F126" s="11"/>
    </row>
    <row r="127" spans="6:6">
      <c r="F127" s="11"/>
    </row>
    <row r="128" spans="6:6">
      <c r="F128" s="11"/>
    </row>
    <row r="129" spans="6:6">
      <c r="F129" s="11"/>
    </row>
    <row r="130" spans="6:6">
      <c r="F130" s="11"/>
    </row>
    <row r="131" spans="6:6">
      <c r="F131" s="11"/>
    </row>
    <row r="132" spans="6:6">
      <c r="F132" s="11"/>
    </row>
    <row r="133" spans="6:6">
      <c r="F133" s="11"/>
    </row>
    <row r="134" spans="6:6">
      <c r="F134" s="11"/>
    </row>
    <row r="135" spans="6:6">
      <c r="F135" s="11"/>
    </row>
    <row r="136" spans="6:6">
      <c r="F136" s="11"/>
    </row>
    <row r="137" spans="6:6">
      <c r="F137" s="11"/>
    </row>
    <row r="138" spans="6:6">
      <c r="F138" s="11"/>
    </row>
    <row r="139" spans="6:6">
      <c r="F139" s="11"/>
    </row>
    <row r="140" spans="6:6">
      <c r="F140" s="11"/>
    </row>
    <row r="141" spans="6:6">
      <c r="F141" s="11"/>
    </row>
    <row r="142" spans="6:6">
      <c r="F142" s="11"/>
    </row>
    <row r="143" spans="6:6">
      <c r="F143" s="11"/>
    </row>
    <row r="144" spans="6:6">
      <c r="F144" s="11"/>
    </row>
    <row r="145" spans="6:6">
      <c r="F145" s="11"/>
    </row>
    <row r="146" spans="6:6">
      <c r="F146" s="11"/>
    </row>
    <row r="147" spans="6:6">
      <c r="F147" s="11"/>
    </row>
    <row r="148" spans="6:6">
      <c r="F148" s="11"/>
    </row>
    <row r="149" spans="6:6">
      <c r="F149" s="11"/>
    </row>
    <row r="150" spans="6:6">
      <c r="F150" s="11"/>
    </row>
    <row r="151" spans="6:6">
      <c r="F151" s="11"/>
    </row>
    <row r="152" spans="6:6">
      <c r="F152" s="11"/>
    </row>
    <row r="153" spans="6:6">
      <c r="F153" s="11"/>
    </row>
    <row r="154" spans="6:6">
      <c r="F154" s="11"/>
    </row>
    <row r="155" spans="6:6">
      <c r="F155" s="11"/>
    </row>
    <row r="156" spans="6:6">
      <c r="F156" s="11"/>
    </row>
    <row r="157" spans="6:6">
      <c r="F157" s="11"/>
    </row>
    <row r="158" spans="6:6">
      <c r="F158" s="11"/>
    </row>
    <row r="159" spans="6:6">
      <c r="F159" s="11"/>
    </row>
    <row r="160" spans="6:6">
      <c r="F160" s="11"/>
    </row>
    <row r="161" spans="6:6">
      <c r="F161" s="11"/>
    </row>
    <row r="162" spans="6:6">
      <c r="F162" s="11"/>
    </row>
    <row r="163" spans="6:6">
      <c r="F163" s="11"/>
    </row>
    <row r="164" spans="6:6">
      <c r="F164" s="11"/>
    </row>
    <row r="165" spans="6:6">
      <c r="F165" s="11"/>
    </row>
    <row r="166" spans="6:6">
      <c r="F166" s="11"/>
    </row>
    <row r="167" spans="6:6">
      <c r="F167" s="11"/>
    </row>
    <row r="168" spans="6:6">
      <c r="F168" s="11"/>
    </row>
    <row r="169" spans="6:6">
      <c r="F169" s="11"/>
    </row>
    <row r="170" spans="6:6">
      <c r="F170" s="11"/>
    </row>
    <row r="171" spans="6:6">
      <c r="F171" s="11"/>
    </row>
    <row r="172" spans="6:6">
      <c r="F172" s="11"/>
    </row>
    <row r="173" spans="6:6">
      <c r="F173" s="11"/>
    </row>
    <row r="174" spans="6:6">
      <c r="F174" s="11"/>
    </row>
    <row r="175" spans="6:6">
      <c r="F175" s="11"/>
    </row>
    <row r="176" spans="6:6">
      <c r="F176" s="11"/>
    </row>
    <row r="177" spans="6:6">
      <c r="F177" s="11"/>
    </row>
    <row r="178" spans="6:6">
      <c r="F178" s="11"/>
    </row>
    <row r="179" spans="6:6">
      <c r="F179" s="11"/>
    </row>
    <row r="180" spans="6:6">
      <c r="F180" s="11"/>
    </row>
    <row r="181" spans="6:6">
      <c r="F181" s="11"/>
    </row>
    <row r="182" spans="6:6">
      <c r="F182" s="11"/>
    </row>
    <row r="183" spans="6:6">
      <c r="F183" s="11"/>
    </row>
    <row r="184" spans="6:6">
      <c r="F184" s="11"/>
    </row>
    <row r="185" spans="6:6">
      <c r="F185" s="11"/>
    </row>
    <row r="186" spans="6:6">
      <c r="F186" s="11"/>
    </row>
    <row r="187" spans="6:6">
      <c r="F187" s="11"/>
    </row>
    <row r="188" spans="6:6">
      <c r="F188" s="11"/>
    </row>
    <row r="189" spans="6:6">
      <c r="F189" s="11"/>
    </row>
    <row r="190" spans="6:6">
      <c r="F190" s="11"/>
    </row>
    <row r="191" spans="6:6">
      <c r="F191" s="11"/>
    </row>
    <row r="192" spans="6:6">
      <c r="F192" s="11"/>
    </row>
    <row r="193" spans="6:6">
      <c r="F193" s="11"/>
    </row>
    <row r="194" spans="6:6">
      <c r="F194" s="11"/>
    </row>
    <row r="195" spans="6:6">
      <c r="F195" s="11"/>
    </row>
    <row r="196" spans="6:6">
      <c r="F196" s="11"/>
    </row>
    <row r="197" spans="6:6">
      <c r="F197" s="11"/>
    </row>
    <row r="198" spans="6:6">
      <c r="F198" s="11"/>
    </row>
    <row r="199" spans="6:6">
      <c r="F199" s="11"/>
    </row>
    <row r="200" spans="6:6">
      <c r="F200" s="11"/>
    </row>
    <row r="201" spans="6:6">
      <c r="F201" s="11"/>
    </row>
    <row r="202" spans="6:6">
      <c r="F202" s="11"/>
    </row>
    <row r="203" spans="6:6">
      <c r="F203" s="11"/>
    </row>
    <row r="204" spans="6:6">
      <c r="F204" s="11"/>
    </row>
    <row r="205" spans="6:6">
      <c r="F205" s="11"/>
    </row>
    <row r="206" spans="6:6">
      <c r="F206" s="11"/>
    </row>
    <row r="207" spans="6:6">
      <c r="F207" s="11"/>
    </row>
    <row r="208" spans="6:6">
      <c r="F208" s="11"/>
    </row>
    <row r="209" spans="6:6">
      <c r="F209" s="11"/>
    </row>
    <row r="210" spans="6:6">
      <c r="F210" s="11"/>
    </row>
    <row r="211" spans="6:6">
      <c r="F211" s="11"/>
    </row>
    <row r="212" spans="6:6">
      <c r="F212" s="11"/>
    </row>
    <row r="213" spans="6:6">
      <c r="F213" s="11"/>
    </row>
    <row r="214" spans="6:6">
      <c r="F214" s="11"/>
    </row>
    <row r="215" spans="6:6">
      <c r="F215" s="11"/>
    </row>
    <row r="216" spans="6:6">
      <c r="F216" s="11"/>
    </row>
    <row r="217" spans="6:6">
      <c r="F217" s="11"/>
    </row>
    <row r="218" spans="6:6">
      <c r="F218" s="11"/>
    </row>
    <row r="219" spans="6:6">
      <c r="F219" s="11"/>
    </row>
    <row r="220" spans="6:6">
      <c r="F220" s="11"/>
    </row>
    <row r="221" spans="6:6">
      <c r="F221" s="11"/>
    </row>
    <row r="222" spans="6:6">
      <c r="F222" s="11"/>
    </row>
    <row r="223" spans="6:6">
      <c r="F223" s="11"/>
    </row>
    <row r="224" spans="6:6">
      <c r="F224" s="11"/>
    </row>
    <row r="225" spans="6:6">
      <c r="F225" s="11"/>
    </row>
    <row r="226" spans="6:6">
      <c r="F226" s="11"/>
    </row>
    <row r="227" spans="6:6">
      <c r="F227" s="11"/>
    </row>
    <row r="228" spans="6:6">
      <c r="F228" s="11"/>
    </row>
    <row r="229" spans="6:6">
      <c r="F229" s="11"/>
    </row>
    <row r="230" spans="6:6">
      <c r="F230" s="11"/>
    </row>
    <row r="231" spans="6:6">
      <c r="F231" s="11"/>
    </row>
    <row r="232" spans="6:6">
      <c r="F232" s="11"/>
    </row>
    <row r="233" spans="6:6">
      <c r="F233" s="11"/>
    </row>
    <row r="234" spans="6:6">
      <c r="F234" s="11"/>
    </row>
    <row r="235" spans="6:6">
      <c r="F235" s="11"/>
    </row>
    <row r="236" spans="6:6">
      <c r="F236" s="11"/>
    </row>
    <row r="237" spans="6:6">
      <c r="F237" s="11"/>
    </row>
    <row r="238" spans="6:6">
      <c r="F238" s="11"/>
    </row>
    <row r="239" spans="6:6">
      <c r="F239" s="11"/>
    </row>
    <row r="240" spans="6:6">
      <c r="F240" s="11"/>
    </row>
    <row r="241" spans="6:6">
      <c r="F241" s="11"/>
    </row>
    <row r="242" spans="6:6">
      <c r="F242" s="11"/>
    </row>
    <row r="243" spans="6:6">
      <c r="F243" s="11"/>
    </row>
    <row r="244" spans="6:6">
      <c r="F244" s="11"/>
    </row>
    <row r="245" spans="6:6">
      <c r="F245" s="11"/>
    </row>
    <row r="246" spans="6:6">
      <c r="F246" s="11"/>
    </row>
    <row r="247" spans="6:6">
      <c r="F247" s="11"/>
    </row>
    <row r="248" spans="6:6">
      <c r="F248" s="11"/>
    </row>
    <row r="249" spans="6:6">
      <c r="F249" s="11"/>
    </row>
    <row r="250" spans="6:6">
      <c r="F250" s="11"/>
    </row>
    <row r="251" spans="6:6">
      <c r="F251" s="11"/>
    </row>
    <row r="252" spans="6:6">
      <c r="F252" s="11"/>
    </row>
    <row r="253" spans="6:6">
      <c r="F253" s="11"/>
    </row>
    <row r="254" spans="6:6">
      <c r="F254" s="11"/>
    </row>
    <row r="255" spans="6:6">
      <c r="F255" s="11"/>
    </row>
    <row r="256" spans="6:6">
      <c r="F256" s="11"/>
    </row>
    <row r="257" spans="6:6">
      <c r="F257" s="11"/>
    </row>
    <row r="258" spans="6:6">
      <c r="F258" s="11"/>
    </row>
    <row r="259" spans="6:6">
      <c r="F259" s="11"/>
    </row>
    <row r="260" spans="6:6">
      <c r="F260" s="11"/>
    </row>
    <row r="261" spans="6:6">
      <c r="F261" s="11"/>
    </row>
    <row r="262" spans="6:6">
      <c r="F262" s="11"/>
    </row>
    <row r="263" spans="6:6">
      <c r="F263" s="11"/>
    </row>
    <row r="264" spans="6:6">
      <c r="F264" s="11"/>
    </row>
    <row r="265" spans="6:6">
      <c r="F265" s="11"/>
    </row>
    <row r="266" spans="6:6">
      <c r="F266" s="11"/>
    </row>
    <row r="267" spans="6:6">
      <c r="F267" s="11"/>
    </row>
    <row r="268" spans="6:6">
      <c r="F268" s="11"/>
    </row>
    <row r="269" spans="6:6">
      <c r="F269" s="11"/>
    </row>
    <row r="270" spans="6:6">
      <c r="F270" s="11"/>
    </row>
    <row r="271" spans="6:6">
      <c r="F271" s="11"/>
    </row>
    <row r="272" spans="6:6">
      <c r="F272" s="11"/>
    </row>
    <row r="273" spans="6:6">
      <c r="F273" s="11"/>
    </row>
    <row r="274" spans="6:6">
      <c r="F274" s="11"/>
    </row>
    <row r="275" spans="6:6">
      <c r="F275" s="11"/>
    </row>
    <row r="276" spans="6:6">
      <c r="F276" s="11"/>
    </row>
    <row r="277" spans="6:6">
      <c r="F277" s="11"/>
    </row>
    <row r="278" spans="6:6">
      <c r="F278" s="11"/>
    </row>
    <row r="279" spans="6:6">
      <c r="F279" s="11"/>
    </row>
    <row r="280" spans="6:6">
      <c r="F280" s="11"/>
    </row>
    <row r="281" spans="6:6">
      <c r="F281" s="11"/>
    </row>
    <row r="282" spans="6:6">
      <c r="F282" s="11"/>
    </row>
    <row r="283" spans="6:6">
      <c r="F283" s="11"/>
    </row>
    <row r="284" spans="6:6">
      <c r="F284" s="11"/>
    </row>
    <row r="285" spans="6:6">
      <c r="F285" s="11"/>
    </row>
    <row r="286" spans="6:6">
      <c r="F286" s="11"/>
    </row>
    <row r="287" spans="6:6">
      <c r="F287" s="11"/>
    </row>
    <row r="288" spans="6:6">
      <c r="F288" s="11"/>
    </row>
    <row r="289" spans="6:6">
      <c r="F289" s="11"/>
    </row>
    <row r="290" spans="6:6">
      <c r="F290" s="11"/>
    </row>
    <row r="291" spans="6:6">
      <c r="F291" s="11"/>
    </row>
    <row r="292" spans="6:6">
      <c r="F292" s="11"/>
    </row>
    <row r="293" spans="6:6">
      <c r="F293" s="11"/>
    </row>
    <row r="294" spans="6:6">
      <c r="F294" s="11"/>
    </row>
    <row r="295" spans="6:6">
      <c r="F295" s="11"/>
    </row>
    <row r="296" spans="6:6">
      <c r="F296" s="11"/>
    </row>
    <row r="297" spans="6:6">
      <c r="F297" s="11"/>
    </row>
    <row r="298" spans="6:6">
      <c r="F298" s="11"/>
    </row>
    <row r="299" spans="6:6">
      <c r="F299" s="11"/>
    </row>
    <row r="300" spans="6:6">
      <c r="F300" s="11"/>
    </row>
    <row r="301" spans="6:6">
      <c r="F301" s="11"/>
    </row>
    <row r="302" spans="6:6">
      <c r="F302" s="11"/>
    </row>
    <row r="303" spans="6:6">
      <c r="F303" s="11"/>
    </row>
    <row r="304" spans="6:6">
      <c r="F304" s="11"/>
    </row>
    <row r="305" spans="6:6">
      <c r="F305" s="11"/>
    </row>
    <row r="306" spans="6:6">
      <c r="F306" s="11"/>
    </row>
    <row r="307" spans="6:6">
      <c r="F307" s="11"/>
    </row>
    <row r="308" spans="6:6">
      <c r="F308" s="11"/>
    </row>
    <row r="309" spans="6:6">
      <c r="F309" s="11"/>
    </row>
    <row r="310" spans="6:6">
      <c r="F310" s="11"/>
    </row>
    <row r="311" spans="6:6">
      <c r="F311" s="11"/>
    </row>
    <row r="312" spans="6:6">
      <c r="F312" s="11"/>
    </row>
    <row r="313" spans="6:6">
      <c r="F313" s="11"/>
    </row>
    <row r="314" spans="6:6">
      <c r="F314" s="11"/>
    </row>
    <row r="315" spans="6:6">
      <c r="F315" s="11"/>
    </row>
    <row r="316" spans="6:6">
      <c r="F316" s="11"/>
    </row>
    <row r="317" spans="6:6">
      <c r="F317" s="11"/>
    </row>
    <row r="318" spans="6:6">
      <c r="F318" s="11"/>
    </row>
    <row r="319" spans="6:6">
      <c r="F319" s="11"/>
    </row>
    <row r="320" spans="6:6">
      <c r="F320" s="11"/>
    </row>
    <row r="321" spans="6:6">
      <c r="F321" s="11"/>
    </row>
    <row r="322" spans="6:6">
      <c r="F322" s="11"/>
    </row>
    <row r="323" spans="6:6">
      <c r="F323" s="11"/>
    </row>
    <row r="324" spans="6:6">
      <c r="F324" s="11"/>
    </row>
    <row r="325" spans="6:6">
      <c r="F325" s="11"/>
    </row>
    <row r="326" spans="6:6">
      <c r="F326" s="11"/>
    </row>
    <row r="327" spans="6:6">
      <c r="F327" s="11"/>
    </row>
    <row r="328" spans="6:6">
      <c r="F328" s="11"/>
    </row>
    <row r="329" spans="6:6">
      <c r="F329" s="11"/>
    </row>
    <row r="330" spans="6:6">
      <c r="F330" s="11"/>
    </row>
    <row r="331" spans="6:6">
      <c r="F331" s="11"/>
    </row>
    <row r="332" spans="6:6">
      <c r="F332" s="11"/>
    </row>
    <row r="333" spans="6:6">
      <c r="F333" s="11"/>
    </row>
    <row r="334" spans="6:6">
      <c r="F334" s="11"/>
    </row>
    <row r="335" spans="6:6">
      <c r="F335" s="11"/>
    </row>
    <row r="336" spans="6:6">
      <c r="F336" s="11"/>
    </row>
    <row r="337" spans="6:6">
      <c r="F337" s="11"/>
    </row>
    <row r="338" spans="6:6">
      <c r="F338" s="11"/>
    </row>
    <row r="339" spans="6:6">
      <c r="F339" s="11"/>
    </row>
    <row r="340" spans="6:6">
      <c r="F340" s="11"/>
    </row>
    <row r="341" spans="6:6">
      <c r="F341" s="11"/>
    </row>
    <row r="342" spans="6:6">
      <c r="F342" s="11"/>
    </row>
    <row r="343" spans="6:6">
      <c r="F343" s="11"/>
    </row>
    <row r="344" spans="6:6">
      <c r="F344" s="11"/>
    </row>
    <row r="345" spans="6:6">
      <c r="F345" s="11"/>
    </row>
    <row r="346" spans="6:6">
      <c r="F346" s="11"/>
    </row>
    <row r="347" spans="6:6">
      <c r="F347" s="11"/>
    </row>
    <row r="348" spans="6:6">
      <c r="F348" s="11"/>
    </row>
    <row r="349" spans="6:6">
      <c r="F349" s="11"/>
    </row>
    <row r="350" spans="6:6">
      <c r="F350" s="11"/>
    </row>
    <row r="351" spans="6:6">
      <c r="F351" s="11"/>
    </row>
    <row r="352" spans="6:6">
      <c r="F352" s="11"/>
    </row>
    <row r="353" spans="6:6">
      <c r="F353" s="11"/>
    </row>
    <row r="354" spans="6:6">
      <c r="F354" s="11"/>
    </row>
    <row r="355" spans="6:6">
      <c r="F355" s="11"/>
    </row>
    <row r="356" spans="6:6">
      <c r="F356" s="11"/>
    </row>
    <row r="357" spans="6:6">
      <c r="F357" s="11"/>
    </row>
    <row r="358" spans="6:6">
      <c r="F358" s="11"/>
    </row>
    <row r="359" spans="6:6">
      <c r="F359" s="11"/>
    </row>
    <row r="360" spans="6:6">
      <c r="F360" s="11"/>
    </row>
    <row r="361" spans="6:6">
      <c r="F361" s="11"/>
    </row>
    <row r="362" spans="6:6">
      <c r="F362" s="11"/>
    </row>
    <row r="363" spans="6:6">
      <c r="F363" s="11"/>
    </row>
    <row r="364" spans="6:6">
      <c r="F364" s="11"/>
    </row>
    <row r="365" spans="6:6">
      <c r="F365" s="11"/>
    </row>
    <row r="366" spans="6:6">
      <c r="F366" s="11"/>
    </row>
    <row r="367" spans="6:6">
      <c r="F367" s="11"/>
    </row>
    <row r="368" spans="6:6">
      <c r="F368" s="11"/>
    </row>
    <row r="369" spans="6:6">
      <c r="F369" s="11"/>
    </row>
    <row r="370" spans="6:6">
      <c r="F370" s="11"/>
    </row>
    <row r="371" spans="6:6">
      <c r="F371" s="11"/>
    </row>
    <row r="372" spans="6:6">
      <c r="F372" s="11"/>
    </row>
    <row r="373" spans="6:6">
      <c r="F373" s="11"/>
    </row>
    <row r="374" spans="6:6">
      <c r="F374" s="11"/>
    </row>
    <row r="375" spans="6:6">
      <c r="F375" s="11"/>
    </row>
    <row r="376" spans="6:6">
      <c r="F376" s="11"/>
    </row>
    <row r="377" spans="6:6">
      <c r="F377" s="11"/>
    </row>
    <row r="378" spans="6:6">
      <c r="F378" s="11"/>
    </row>
    <row r="379" spans="6:6">
      <c r="F379" s="11"/>
    </row>
    <row r="380" spans="6:6">
      <c r="F380" s="11"/>
    </row>
    <row r="381" spans="6:6">
      <c r="F381" s="11"/>
    </row>
    <row r="382" spans="6:6">
      <c r="F382" s="11"/>
    </row>
    <row r="383" spans="6:6">
      <c r="F383" s="11"/>
    </row>
    <row r="384" spans="6:6">
      <c r="F384" s="11"/>
    </row>
    <row r="385" spans="6:6">
      <c r="F385" s="11"/>
    </row>
    <row r="386" spans="6:6">
      <c r="F386" s="11"/>
    </row>
    <row r="387" spans="6:6">
      <c r="F387" s="11"/>
    </row>
    <row r="388" spans="6:6">
      <c r="F388" s="11"/>
    </row>
    <row r="389" spans="6:6">
      <c r="F389" s="11"/>
    </row>
    <row r="390" spans="6:6">
      <c r="F390" s="11"/>
    </row>
    <row r="391" spans="6:6">
      <c r="F391" s="11"/>
    </row>
    <row r="392" spans="6:6">
      <c r="F392" s="11"/>
    </row>
    <row r="393" spans="6:6">
      <c r="F393" s="11"/>
    </row>
    <row r="394" spans="6:6">
      <c r="F394" s="11"/>
    </row>
    <row r="395" spans="6:6">
      <c r="F395" s="11"/>
    </row>
    <row r="396" spans="6:6">
      <c r="F396" s="11"/>
    </row>
    <row r="397" spans="6:6">
      <c r="F397" s="11"/>
    </row>
    <row r="398" spans="6:6">
      <c r="F398" s="11"/>
    </row>
    <row r="399" spans="6:6">
      <c r="F399" s="11"/>
    </row>
    <row r="400" spans="6:6">
      <c r="F400" s="11"/>
    </row>
    <row r="401" spans="6:6">
      <c r="F401" s="11"/>
    </row>
    <row r="402" spans="6:6">
      <c r="F402" s="11"/>
    </row>
    <row r="403" spans="6:6">
      <c r="F403" s="11"/>
    </row>
    <row r="404" spans="6:6">
      <c r="F404" s="11"/>
    </row>
    <row r="405" spans="6:6">
      <c r="F405" s="11"/>
    </row>
    <row r="406" spans="6:6">
      <c r="F406" s="11"/>
    </row>
    <row r="407" spans="6:6">
      <c r="F407" s="11"/>
    </row>
    <row r="408" spans="6:6">
      <c r="F408" s="11"/>
    </row>
    <row r="409" spans="6:6">
      <c r="F409" s="11"/>
    </row>
    <row r="410" spans="6:6">
      <c r="F410" s="11"/>
    </row>
    <row r="411" spans="6:6">
      <c r="F411" s="11"/>
    </row>
    <row r="412" spans="6:6">
      <c r="F412" s="11"/>
    </row>
    <row r="413" spans="6:6">
      <c r="F413" s="11"/>
    </row>
    <row r="414" spans="6:6">
      <c r="F414" s="11"/>
    </row>
    <row r="415" spans="6:6">
      <c r="F415" s="11"/>
    </row>
    <row r="416" spans="6:6">
      <c r="F416" s="11"/>
    </row>
    <row r="417" spans="6:6">
      <c r="F417" s="11"/>
    </row>
    <row r="418" spans="6:6">
      <c r="F418" s="11"/>
    </row>
    <row r="419" spans="6:6">
      <c r="F419" s="11"/>
    </row>
    <row r="420" spans="6:6">
      <c r="F420" s="11"/>
    </row>
    <row r="421" spans="6:6">
      <c r="F421" s="11"/>
    </row>
    <row r="422" spans="6:6">
      <c r="F422" s="11"/>
    </row>
    <row r="423" spans="6:6">
      <c r="F423" s="11"/>
    </row>
    <row r="424" spans="6:6">
      <c r="F424" s="11"/>
    </row>
    <row r="425" spans="6:6">
      <c r="F425" s="11"/>
    </row>
    <row r="426" spans="6:6">
      <c r="F426" s="11"/>
    </row>
    <row r="427" spans="6:6">
      <c r="F427" s="11"/>
    </row>
    <row r="428" spans="6:6">
      <c r="F428" s="11"/>
    </row>
    <row r="429" spans="6:6">
      <c r="F429" s="11"/>
    </row>
    <row r="430" spans="6:6">
      <c r="F430" s="11"/>
    </row>
    <row r="431" spans="6:6">
      <c r="F431" s="11"/>
    </row>
    <row r="432" spans="6:6">
      <c r="F432" s="11"/>
    </row>
    <row r="433" spans="6:6">
      <c r="F433" s="11"/>
    </row>
    <row r="434" spans="6:6">
      <c r="F434" s="11"/>
    </row>
    <row r="435" spans="6:6">
      <c r="F435" s="11"/>
    </row>
    <row r="436" spans="6:6">
      <c r="F436" s="11"/>
    </row>
    <row r="437" spans="6:6">
      <c r="F437" s="11"/>
    </row>
    <row r="438" spans="6:6">
      <c r="F438" s="11"/>
    </row>
    <row r="439" spans="6:6">
      <c r="F439" s="11"/>
    </row>
    <row r="440" spans="6:6">
      <c r="F440" s="11"/>
    </row>
    <row r="441" spans="6:6">
      <c r="F441" s="11"/>
    </row>
    <row r="442" spans="6:6">
      <c r="F442" s="11"/>
    </row>
    <row r="443" spans="6:6">
      <c r="F443" s="11"/>
    </row>
    <row r="444" spans="6:6">
      <c r="F444" s="11"/>
    </row>
    <row r="445" spans="6:6">
      <c r="F445" s="11"/>
    </row>
    <row r="446" spans="6:6">
      <c r="F446" s="11"/>
    </row>
    <row r="447" spans="6:6">
      <c r="F447" s="11"/>
    </row>
    <row r="448" spans="6:6">
      <c r="F448" s="11"/>
    </row>
    <row r="449" spans="6:6">
      <c r="F449" s="11"/>
    </row>
    <row r="450" spans="6:6">
      <c r="F450" s="11"/>
    </row>
    <row r="451" spans="6:6">
      <c r="F451" s="11"/>
    </row>
    <row r="452" spans="6:6">
      <c r="F452" s="11"/>
    </row>
    <row r="453" spans="6:6">
      <c r="F453" s="11"/>
    </row>
    <row r="454" spans="6:6">
      <c r="F454" s="11"/>
    </row>
    <row r="455" spans="6:6">
      <c r="F455" s="11"/>
    </row>
    <row r="456" spans="6:6">
      <c r="F456" s="11"/>
    </row>
    <row r="457" spans="6:6">
      <c r="F457" s="11"/>
    </row>
    <row r="458" spans="6:6">
      <c r="F458" s="11"/>
    </row>
    <row r="459" spans="6:6">
      <c r="F459" s="11"/>
    </row>
    <row r="460" spans="6:6">
      <c r="F460" s="11"/>
    </row>
    <row r="461" spans="6:6">
      <c r="F461" s="11"/>
    </row>
    <row r="462" spans="6:6">
      <c r="F462" s="11"/>
    </row>
    <row r="463" spans="6:6">
      <c r="F463" s="11"/>
    </row>
    <row r="464" spans="6:6">
      <c r="F464" s="11"/>
    </row>
    <row r="465" spans="6:6">
      <c r="F465" s="11"/>
    </row>
    <row r="466" spans="6:6">
      <c r="F466" s="11"/>
    </row>
    <row r="467" spans="6:6">
      <c r="F467" s="11"/>
    </row>
    <row r="468" spans="6:6">
      <c r="F468" s="11"/>
    </row>
    <row r="469" spans="6:6">
      <c r="F469" s="11"/>
    </row>
    <row r="470" spans="6:6">
      <c r="F470" s="11"/>
    </row>
    <row r="471" spans="6:6">
      <c r="F471" s="11"/>
    </row>
    <row r="472" spans="6:6">
      <c r="F472" s="11"/>
    </row>
    <row r="473" spans="6:6">
      <c r="F473" s="11"/>
    </row>
    <row r="474" spans="6:6">
      <c r="F474" s="11"/>
    </row>
    <row r="475" spans="6:6">
      <c r="F475" s="11"/>
    </row>
    <row r="476" spans="6:6">
      <c r="F476" s="11"/>
    </row>
    <row r="477" spans="6:6">
      <c r="F477" s="11"/>
    </row>
    <row r="478" spans="6:6">
      <c r="F478" s="11"/>
    </row>
    <row r="479" spans="6:6">
      <c r="F479" s="11"/>
    </row>
    <row r="480" spans="6:6">
      <c r="F480" s="11"/>
    </row>
    <row r="481" spans="6:6">
      <c r="F481" s="11"/>
    </row>
    <row r="482" spans="6:6">
      <c r="F482" s="11"/>
    </row>
    <row r="483" spans="6:6">
      <c r="F483" s="11"/>
    </row>
    <row r="484" spans="6:6">
      <c r="F484" s="11"/>
    </row>
    <row r="485" spans="6:6">
      <c r="F485" s="11"/>
    </row>
    <row r="486" spans="6:6">
      <c r="F486" s="11"/>
    </row>
    <row r="487" spans="6:6">
      <c r="F487" s="11"/>
    </row>
    <row r="488" spans="6:6">
      <c r="F488" s="11"/>
    </row>
    <row r="489" spans="6:6">
      <c r="F489" s="11"/>
    </row>
    <row r="490" spans="6:6">
      <c r="F490" s="11"/>
    </row>
    <row r="491" spans="6:6">
      <c r="F491" s="11"/>
    </row>
    <row r="492" spans="6:6">
      <c r="F492" s="11"/>
    </row>
    <row r="493" spans="6:6">
      <c r="F493" s="11"/>
    </row>
    <row r="494" spans="6:6">
      <c r="F494" s="11"/>
    </row>
    <row r="495" spans="6:6">
      <c r="F495" s="11"/>
    </row>
    <row r="496" spans="6:6">
      <c r="F496" s="11"/>
    </row>
    <row r="497" spans="6:6">
      <c r="F497" s="11"/>
    </row>
    <row r="498" spans="6:6">
      <c r="F498" s="11"/>
    </row>
    <row r="499" spans="6:6">
      <c r="F499" s="11"/>
    </row>
    <row r="500" spans="6:6">
      <c r="F500" s="11"/>
    </row>
    <row r="501" spans="6:6">
      <c r="F501" s="11"/>
    </row>
    <row r="502" spans="6:6">
      <c r="F502" s="11"/>
    </row>
    <row r="503" spans="6:6">
      <c r="F503" s="11"/>
    </row>
    <row r="504" spans="6:6">
      <c r="F504" s="11"/>
    </row>
    <row r="505" spans="6:6">
      <c r="F505" s="11"/>
    </row>
    <row r="506" spans="6:6">
      <c r="F506" s="11"/>
    </row>
    <row r="507" spans="6:6">
      <c r="F507" s="11"/>
    </row>
    <row r="508" spans="6:6">
      <c r="F508" s="11"/>
    </row>
    <row r="509" spans="6:6">
      <c r="F509" s="11"/>
    </row>
    <row r="510" spans="6:6">
      <c r="F510" s="11"/>
    </row>
    <row r="511" spans="6:6">
      <c r="F511" s="11"/>
    </row>
    <row r="512" spans="6:6">
      <c r="F512" s="11"/>
    </row>
    <row r="513" spans="6:6">
      <c r="F513" s="11"/>
    </row>
    <row r="514" spans="6:6">
      <c r="F514" s="11"/>
    </row>
    <row r="515" spans="6:6">
      <c r="F515" s="11"/>
    </row>
    <row r="516" spans="6:6">
      <c r="F516" s="11"/>
    </row>
    <row r="517" spans="6:6">
      <c r="F517" s="11"/>
    </row>
    <row r="518" spans="6:6">
      <c r="F518" s="11"/>
    </row>
    <row r="519" spans="6:6">
      <c r="F519" s="11"/>
    </row>
    <row r="520" spans="6:6">
      <c r="F520" s="11"/>
    </row>
    <row r="521" spans="6:6">
      <c r="F521" s="11"/>
    </row>
    <row r="522" spans="6:6">
      <c r="F522" s="11"/>
    </row>
    <row r="523" spans="6:6">
      <c r="F523" s="11"/>
    </row>
    <row r="524" spans="6:6">
      <c r="F524" s="11"/>
    </row>
    <row r="525" spans="6:6">
      <c r="F525" s="11"/>
    </row>
    <row r="526" spans="6:6">
      <c r="F526" s="11"/>
    </row>
    <row r="527" spans="6:6">
      <c r="F527" s="11"/>
    </row>
    <row r="528" spans="6:6">
      <c r="F528" s="11"/>
    </row>
    <row r="529" spans="6:6">
      <c r="F529" s="11"/>
    </row>
    <row r="530" spans="6:6">
      <c r="F530" s="11"/>
    </row>
    <row r="531" spans="6:6">
      <c r="F531" s="11"/>
    </row>
    <row r="532" spans="6:6">
      <c r="F532" s="11"/>
    </row>
    <row r="533" spans="6:6">
      <c r="F533" s="11"/>
    </row>
    <row r="534" spans="6:6">
      <c r="F534" s="11"/>
    </row>
    <row r="535" spans="6:6">
      <c r="F535" s="11"/>
    </row>
    <row r="536" spans="6:6">
      <c r="F536" s="11"/>
    </row>
    <row r="537" spans="6:6">
      <c r="F537" s="11"/>
    </row>
    <row r="538" spans="6:6">
      <c r="F538" s="11"/>
    </row>
    <row r="539" spans="6:6">
      <c r="F539" s="11"/>
    </row>
    <row r="540" spans="6:6">
      <c r="F540" s="11"/>
    </row>
    <row r="541" spans="6:6">
      <c r="F541" s="11"/>
    </row>
    <row r="542" spans="6:6">
      <c r="F542" s="11"/>
    </row>
    <row r="543" spans="6:6">
      <c r="F543" s="11"/>
    </row>
    <row r="544" spans="6:6">
      <c r="F544" s="11"/>
    </row>
    <row r="545" spans="6:6">
      <c r="F545" s="11"/>
    </row>
    <row r="546" spans="6:6">
      <c r="F546" s="11"/>
    </row>
    <row r="547" spans="6:6">
      <c r="F547" s="11"/>
    </row>
    <row r="548" spans="6:6">
      <c r="F548" s="11"/>
    </row>
    <row r="549" spans="6:6">
      <c r="F549" s="11"/>
    </row>
    <row r="550" spans="6:6">
      <c r="F550" s="11"/>
    </row>
    <row r="551" spans="6:6">
      <c r="F551" s="11"/>
    </row>
    <row r="552" spans="6:6">
      <c r="F552" s="11"/>
    </row>
    <row r="553" spans="6:6">
      <c r="F553" s="11"/>
    </row>
    <row r="554" spans="6:6">
      <c r="F554" s="11"/>
    </row>
    <row r="555" spans="6:6">
      <c r="F555" s="11"/>
    </row>
    <row r="556" spans="6:6">
      <c r="F556" s="11"/>
    </row>
    <row r="557" spans="6:6">
      <c r="F557" s="11"/>
    </row>
    <row r="558" spans="6:6">
      <c r="F558" s="11"/>
    </row>
    <row r="559" spans="6:6">
      <c r="F559" s="11"/>
    </row>
    <row r="560" spans="6:6">
      <c r="F560" s="11"/>
    </row>
    <row r="561" spans="6:6">
      <c r="F561" s="11"/>
    </row>
    <row r="562" spans="6:6">
      <c r="F562" s="11"/>
    </row>
    <row r="563" spans="6:6">
      <c r="F563" s="11"/>
    </row>
    <row r="564" spans="6:6">
      <c r="F564" s="11"/>
    </row>
    <row r="565" spans="6:6">
      <c r="F565" s="11"/>
    </row>
    <row r="566" spans="6:6">
      <c r="F566" s="11"/>
    </row>
    <row r="567" spans="6:6">
      <c r="F567" s="11"/>
    </row>
    <row r="568" spans="6:6">
      <c r="F568" s="11"/>
    </row>
    <row r="569" spans="6:6">
      <c r="F569" s="11"/>
    </row>
    <row r="570" spans="6:6">
      <c r="F570" s="11"/>
    </row>
    <row r="571" spans="6:6">
      <c r="F571" s="11"/>
    </row>
    <row r="572" spans="6:6">
      <c r="F572" s="11"/>
    </row>
    <row r="573" spans="6:6">
      <c r="F573" s="11"/>
    </row>
    <row r="574" spans="6:6">
      <c r="F574" s="11"/>
    </row>
    <row r="575" spans="6:6">
      <c r="F575" s="11"/>
    </row>
    <row r="576" spans="6:6">
      <c r="F576" s="11"/>
    </row>
    <row r="577" spans="6:6">
      <c r="F577" s="11"/>
    </row>
    <row r="578" spans="6:6">
      <c r="F578" s="11"/>
    </row>
    <row r="579" spans="6:6">
      <c r="F579" s="11"/>
    </row>
    <row r="580" spans="6:6">
      <c r="F580" s="11"/>
    </row>
    <row r="581" spans="6:6">
      <c r="F581" s="11"/>
    </row>
    <row r="582" spans="6:6">
      <c r="F582" s="11"/>
    </row>
    <row r="583" spans="6:6">
      <c r="F583" s="11"/>
    </row>
    <row r="584" spans="6:6">
      <c r="F584" s="11"/>
    </row>
    <row r="585" spans="6:6">
      <c r="F585" s="11"/>
    </row>
    <row r="586" spans="6:6">
      <c r="F586" s="11"/>
    </row>
    <row r="587" spans="6:6">
      <c r="F587" s="11"/>
    </row>
    <row r="588" spans="6:6">
      <c r="F588" s="11"/>
    </row>
    <row r="589" spans="6:6">
      <c r="F589" s="11"/>
    </row>
    <row r="590" spans="6:6">
      <c r="F590" s="11"/>
    </row>
    <row r="591" spans="6:6">
      <c r="F591" s="11"/>
    </row>
    <row r="592" spans="6:6">
      <c r="F592" s="11"/>
    </row>
    <row r="593" spans="6:6">
      <c r="F593" s="11"/>
    </row>
    <row r="594" spans="6:6">
      <c r="F594" s="11"/>
    </row>
    <row r="595" spans="6:6">
      <c r="F595" s="11"/>
    </row>
    <row r="596" spans="6:6">
      <c r="F596" s="11"/>
    </row>
    <row r="597" spans="6:6">
      <c r="F597" s="11"/>
    </row>
    <row r="598" spans="6:6">
      <c r="F598" s="11"/>
    </row>
    <row r="599" spans="6:6">
      <c r="F599" s="11"/>
    </row>
    <row r="600" spans="6:6">
      <c r="F600" s="11"/>
    </row>
    <row r="601" spans="6:6">
      <c r="F601" s="11"/>
    </row>
    <row r="602" spans="6:6">
      <c r="F602" s="11"/>
    </row>
    <row r="603" spans="6:6">
      <c r="F603" s="11"/>
    </row>
    <row r="604" spans="6:6">
      <c r="F604" s="11"/>
    </row>
    <row r="605" spans="6:6">
      <c r="F605" s="11"/>
    </row>
    <row r="606" spans="6:6">
      <c r="F606" s="11"/>
    </row>
    <row r="607" spans="6:6">
      <c r="F607" s="11"/>
    </row>
    <row r="608" spans="6:6">
      <c r="F608" s="11"/>
    </row>
    <row r="609" spans="6:6">
      <c r="F609" s="11"/>
    </row>
    <row r="610" spans="6:6">
      <c r="F610" s="11"/>
    </row>
    <row r="611" spans="6:6">
      <c r="F611" s="11"/>
    </row>
    <row r="612" spans="6:6">
      <c r="F612" s="11"/>
    </row>
    <row r="613" spans="6:6">
      <c r="F613" s="11"/>
    </row>
    <row r="614" spans="6:6">
      <c r="F614" s="11"/>
    </row>
    <row r="615" spans="6:6">
      <c r="F615" s="11"/>
    </row>
    <row r="616" spans="6:6">
      <c r="F616" s="11"/>
    </row>
    <row r="617" spans="6:6">
      <c r="F617" s="11"/>
    </row>
    <row r="618" spans="6:6">
      <c r="F618" s="11"/>
    </row>
    <row r="619" spans="6:6">
      <c r="F619" s="11"/>
    </row>
    <row r="620" spans="6:6">
      <c r="F620" s="11"/>
    </row>
    <row r="621" spans="6:6">
      <c r="F621" s="11"/>
    </row>
    <row r="622" spans="6:6">
      <c r="F622" s="11"/>
    </row>
    <row r="623" spans="6:6">
      <c r="F623" s="11"/>
    </row>
    <row r="624" spans="6:6">
      <c r="F624" s="11"/>
    </row>
    <row r="625" spans="6:6">
      <c r="F625" s="11"/>
    </row>
    <row r="626" spans="6:6">
      <c r="F626" s="11"/>
    </row>
    <row r="627" spans="6:6">
      <c r="F627" s="11"/>
    </row>
    <row r="628" spans="6:6">
      <c r="F628" s="11"/>
    </row>
    <row r="629" spans="6:6">
      <c r="F629" s="11"/>
    </row>
    <row r="630" spans="6:6">
      <c r="F630" s="11"/>
    </row>
    <row r="631" spans="6:6">
      <c r="F631" s="11"/>
    </row>
    <row r="632" spans="6:6">
      <c r="F632" s="11"/>
    </row>
    <row r="633" spans="6:6">
      <c r="F633" s="11"/>
    </row>
    <row r="634" spans="6:6">
      <c r="F634" s="11"/>
    </row>
    <row r="635" spans="6:6">
      <c r="F635" s="11"/>
    </row>
    <row r="636" spans="6:6">
      <c r="F636" s="11"/>
    </row>
    <row r="637" spans="6:6">
      <c r="F637" s="11"/>
    </row>
    <row r="638" spans="6:6">
      <c r="F638" s="11"/>
    </row>
    <row r="639" spans="6:6">
      <c r="F639" s="11"/>
    </row>
    <row r="640" spans="6:6">
      <c r="F640" s="11"/>
    </row>
    <row r="641" spans="6:6">
      <c r="F641" s="11"/>
    </row>
    <row r="642" spans="6:6">
      <c r="F642" s="11"/>
    </row>
    <row r="643" spans="6:6">
      <c r="F643" s="11"/>
    </row>
    <row r="644" spans="6:6">
      <c r="F644" s="11"/>
    </row>
    <row r="645" spans="6:6">
      <c r="F645" s="11"/>
    </row>
    <row r="646" spans="6:6">
      <c r="F646" s="11"/>
    </row>
    <row r="647" spans="6:6">
      <c r="F647" s="11"/>
    </row>
    <row r="648" spans="6:6">
      <c r="F648" s="11"/>
    </row>
    <row r="649" spans="6:6">
      <c r="F649" s="11"/>
    </row>
    <row r="650" spans="6:6">
      <c r="F650" s="11"/>
    </row>
    <row r="651" spans="6:6">
      <c r="F651" s="11"/>
    </row>
    <row r="652" spans="6:6">
      <c r="F652" s="11"/>
    </row>
    <row r="653" spans="6:6">
      <c r="F653" s="11"/>
    </row>
    <row r="654" spans="6:6">
      <c r="F654" s="11"/>
    </row>
    <row r="655" spans="6:6">
      <c r="F655" s="11"/>
    </row>
    <row r="656" spans="6:6">
      <c r="F656" s="11"/>
    </row>
    <row r="657" spans="6:6">
      <c r="F657" s="11"/>
    </row>
    <row r="658" spans="6:6">
      <c r="F658" s="11"/>
    </row>
    <row r="659" spans="6:6">
      <c r="F659" s="11"/>
    </row>
    <row r="660" spans="6:6">
      <c r="F660" s="11"/>
    </row>
    <row r="661" spans="6:6">
      <c r="F661" s="11"/>
    </row>
    <row r="662" spans="6:6">
      <c r="F662" s="11"/>
    </row>
    <row r="663" spans="6:6">
      <c r="F663" s="11"/>
    </row>
    <row r="664" spans="6:6">
      <c r="F664" s="11"/>
    </row>
    <row r="665" spans="6:6">
      <c r="F665" s="11"/>
    </row>
    <row r="666" spans="6:6">
      <c r="F666" s="11"/>
    </row>
    <row r="667" spans="6:6">
      <c r="F667" s="11"/>
    </row>
    <row r="668" spans="6:6">
      <c r="F668" s="11"/>
    </row>
    <row r="669" spans="6:6">
      <c r="F669" s="11"/>
    </row>
    <row r="670" spans="6:6">
      <c r="F670" s="11"/>
    </row>
    <row r="671" spans="6:6">
      <c r="F671" s="11"/>
    </row>
    <row r="672" spans="6:6">
      <c r="F672" s="11"/>
    </row>
    <row r="673" spans="6:6">
      <c r="F673" s="11"/>
    </row>
    <row r="674" spans="6:6">
      <c r="F674" s="11"/>
    </row>
    <row r="675" spans="6:6">
      <c r="F675" s="11"/>
    </row>
    <row r="676" spans="6:6">
      <c r="F676" s="11"/>
    </row>
    <row r="677" spans="6:6">
      <c r="F677" s="11"/>
    </row>
    <row r="678" spans="6:6">
      <c r="F678" s="11"/>
    </row>
    <row r="679" spans="6:6">
      <c r="F679" s="11"/>
    </row>
    <row r="680" spans="6:6">
      <c r="F680" s="11"/>
    </row>
    <row r="681" spans="6:6">
      <c r="F681" s="11"/>
    </row>
    <row r="682" spans="6:6">
      <c r="F682" s="11"/>
    </row>
    <row r="683" spans="6:6">
      <c r="F683" s="11"/>
    </row>
    <row r="684" spans="6:6">
      <c r="F684" s="11"/>
    </row>
    <row r="685" spans="6:6">
      <c r="F685" s="11"/>
    </row>
    <row r="686" spans="6:6">
      <c r="F686" s="11"/>
    </row>
    <row r="687" spans="6:6">
      <c r="F687" s="11"/>
    </row>
    <row r="688" spans="6:6">
      <c r="F688" s="11"/>
    </row>
    <row r="689" spans="6:6">
      <c r="F689" s="11"/>
    </row>
    <row r="690" spans="6:6">
      <c r="F690" s="11"/>
    </row>
    <row r="691" spans="6:6">
      <c r="F691" s="11"/>
    </row>
    <row r="692" spans="6:6">
      <c r="F692" s="11"/>
    </row>
    <row r="693" spans="6:6">
      <c r="F693" s="11"/>
    </row>
    <row r="694" spans="6:6">
      <c r="F694" s="11"/>
    </row>
    <row r="695" spans="6:6">
      <c r="F695" s="11"/>
    </row>
    <row r="696" spans="6:6">
      <c r="F696" s="11"/>
    </row>
    <row r="697" spans="6:6">
      <c r="F697" s="11"/>
    </row>
    <row r="698" spans="6:6">
      <c r="F698" s="11"/>
    </row>
    <row r="699" spans="6:6">
      <c r="F699" s="11"/>
    </row>
    <row r="700" spans="6:6">
      <c r="F700" s="11"/>
    </row>
    <row r="701" spans="6:6">
      <c r="F701" s="11"/>
    </row>
    <row r="702" spans="6:6">
      <c r="F702" s="11"/>
    </row>
    <row r="703" spans="6:6">
      <c r="F703" s="11"/>
    </row>
    <row r="704" spans="6:6">
      <c r="F704" s="11"/>
    </row>
    <row r="705" spans="6:6">
      <c r="F705" s="11"/>
    </row>
    <row r="706" spans="6:6">
      <c r="F706" s="11"/>
    </row>
    <row r="707" spans="6:6">
      <c r="F707" s="11"/>
    </row>
    <row r="708" spans="6:6">
      <c r="F708" s="11"/>
    </row>
    <row r="709" spans="6:6">
      <c r="F709" s="11"/>
    </row>
    <row r="710" spans="6:6">
      <c r="F710" s="11"/>
    </row>
    <row r="711" spans="6:6">
      <c r="F711" s="11"/>
    </row>
    <row r="712" spans="6:6">
      <c r="F712" s="11"/>
    </row>
    <row r="713" spans="6:6">
      <c r="F713" s="11"/>
    </row>
    <row r="714" spans="6:6">
      <c r="F714" s="11"/>
    </row>
    <row r="715" spans="6:6">
      <c r="F715" s="11"/>
    </row>
    <row r="716" spans="6:6">
      <c r="F716" s="11"/>
    </row>
    <row r="717" spans="6:6">
      <c r="F717" s="11"/>
    </row>
    <row r="718" spans="6:6">
      <c r="F718" s="11"/>
    </row>
    <row r="719" spans="6:6">
      <c r="F719" s="11"/>
    </row>
    <row r="720" spans="6:6">
      <c r="F720" s="11"/>
    </row>
    <row r="721" spans="6:6">
      <c r="F721" s="11"/>
    </row>
    <row r="722" spans="6:6">
      <c r="F722" s="11"/>
    </row>
    <row r="723" spans="6:6">
      <c r="F723" s="11"/>
    </row>
    <row r="724" spans="6:6">
      <c r="F724" s="11"/>
    </row>
    <row r="725" spans="6:6">
      <c r="F725" s="11"/>
    </row>
    <row r="726" spans="6:6">
      <c r="F726" s="11"/>
    </row>
    <row r="727" spans="6:6">
      <c r="F727" s="11"/>
    </row>
    <row r="728" spans="6:6">
      <c r="F728" s="11"/>
    </row>
    <row r="729" spans="6:6">
      <c r="F729" s="11"/>
    </row>
    <row r="730" spans="6:6">
      <c r="F730" s="11"/>
    </row>
    <row r="731" spans="6:6">
      <c r="F731" s="11"/>
    </row>
    <row r="732" spans="6:6">
      <c r="F732" s="11"/>
    </row>
    <row r="733" spans="6:6">
      <c r="F733" s="11"/>
    </row>
    <row r="734" spans="6:6">
      <c r="F734" s="11"/>
    </row>
    <row r="735" spans="6:6">
      <c r="F735" s="11"/>
    </row>
    <row r="736" spans="6:6">
      <c r="F736" s="11"/>
    </row>
    <row r="737" spans="6:6">
      <c r="F737" s="11"/>
    </row>
    <row r="738" spans="6:6">
      <c r="F738" s="11"/>
    </row>
    <row r="739" spans="6:6">
      <c r="F739" s="11"/>
    </row>
    <row r="740" spans="6:6">
      <c r="F740" s="11"/>
    </row>
    <row r="741" spans="6:6">
      <c r="F741" s="11"/>
    </row>
    <row r="742" spans="6:6">
      <c r="F742" s="11"/>
    </row>
    <row r="743" spans="6:6">
      <c r="F743" s="11"/>
    </row>
    <row r="744" spans="6:6">
      <c r="F744" s="11"/>
    </row>
    <row r="745" spans="6:6">
      <c r="F745" s="11"/>
    </row>
    <row r="746" spans="6:6">
      <c r="F746" s="11"/>
    </row>
    <row r="747" spans="6:6">
      <c r="F747" s="11"/>
    </row>
    <row r="748" spans="6:6">
      <c r="F748" s="11"/>
    </row>
    <row r="749" spans="6:6">
      <c r="F749" s="11"/>
    </row>
    <row r="750" spans="6:6">
      <c r="F750" s="11"/>
    </row>
    <row r="751" spans="6:6">
      <c r="F751" s="11"/>
    </row>
    <row r="752" spans="6:6">
      <c r="F752" s="11"/>
    </row>
    <row r="753" spans="6:6">
      <c r="F753" s="11"/>
    </row>
    <row r="754" spans="6:6">
      <c r="F754" s="11"/>
    </row>
    <row r="755" spans="6:6">
      <c r="F755" s="11"/>
    </row>
    <row r="756" spans="6:6">
      <c r="F756" s="11"/>
    </row>
    <row r="757" spans="6:6">
      <c r="F757" s="11"/>
    </row>
    <row r="758" spans="6:6">
      <c r="F758" s="11"/>
    </row>
    <row r="759" spans="6:6">
      <c r="F759" s="11"/>
    </row>
    <row r="760" spans="6:6">
      <c r="F760" s="11"/>
    </row>
    <row r="761" spans="6:6">
      <c r="F761" s="11"/>
    </row>
    <row r="762" spans="6:6">
      <c r="F762" s="11"/>
    </row>
    <row r="763" spans="6:6">
      <c r="F763" s="11"/>
    </row>
    <row r="764" spans="6:6">
      <c r="F764" s="11"/>
    </row>
    <row r="765" spans="6:6">
      <c r="F765" s="11"/>
    </row>
    <row r="766" spans="6:6">
      <c r="F766" s="11"/>
    </row>
    <row r="767" spans="6:6">
      <c r="F767" s="11"/>
    </row>
    <row r="768" spans="6:6">
      <c r="F768" s="11"/>
    </row>
    <row r="769" spans="6:6">
      <c r="F769" s="11"/>
    </row>
    <row r="770" spans="6:6">
      <c r="F770" s="11"/>
    </row>
    <row r="771" spans="6:6">
      <c r="F771" s="11"/>
    </row>
    <row r="772" spans="6:6">
      <c r="F772" s="11"/>
    </row>
    <row r="773" spans="6:6">
      <c r="F773" s="11"/>
    </row>
    <row r="774" spans="6:6">
      <c r="F774" s="11"/>
    </row>
    <row r="775" spans="6:6">
      <c r="F775" s="11"/>
    </row>
    <row r="776" spans="6:6">
      <c r="F776" s="11"/>
    </row>
    <row r="777" spans="6:6">
      <c r="F777" s="11"/>
    </row>
    <row r="778" spans="6:6">
      <c r="F778" s="11"/>
    </row>
    <row r="779" spans="6:6">
      <c r="F779" s="11"/>
    </row>
    <row r="780" spans="6:6">
      <c r="F780" s="11"/>
    </row>
    <row r="781" spans="6:6">
      <c r="F781" s="11"/>
    </row>
    <row r="782" spans="6:6">
      <c r="F782" s="11"/>
    </row>
    <row r="783" spans="6:6">
      <c r="F783" s="11"/>
    </row>
    <row r="784" spans="6:6">
      <c r="F784" s="11"/>
    </row>
    <row r="785" spans="6:6">
      <c r="F785" s="11"/>
    </row>
    <row r="786" spans="6:6">
      <c r="F786" s="11"/>
    </row>
    <row r="787" spans="6:6">
      <c r="F787" s="11"/>
    </row>
    <row r="788" spans="6:6">
      <c r="F788" s="11"/>
    </row>
    <row r="789" spans="6:6">
      <c r="F789" s="11"/>
    </row>
    <row r="790" spans="6:6">
      <c r="F790" s="11"/>
    </row>
    <row r="791" spans="6:6">
      <c r="F791" s="11"/>
    </row>
    <row r="792" spans="6:6">
      <c r="F792" s="11"/>
    </row>
    <row r="793" spans="6:6">
      <c r="F793" s="11"/>
    </row>
    <row r="794" spans="6:6">
      <c r="F794" s="11"/>
    </row>
    <row r="795" spans="6:6">
      <c r="F795" s="11"/>
    </row>
    <row r="796" spans="6:6">
      <c r="F796" s="11"/>
    </row>
    <row r="797" spans="6:6">
      <c r="F797" s="11"/>
    </row>
    <row r="798" spans="6:6">
      <c r="F798" s="11"/>
    </row>
    <row r="799" spans="6:6">
      <c r="F799" s="11"/>
    </row>
    <row r="800" spans="6:6">
      <c r="F800" s="11"/>
    </row>
    <row r="801" spans="6:6">
      <c r="F801" s="11"/>
    </row>
    <row r="802" spans="6:6">
      <c r="F802" s="11"/>
    </row>
    <row r="803" spans="6:6">
      <c r="F803" s="11"/>
    </row>
    <row r="804" spans="6:6">
      <c r="F804" s="11"/>
    </row>
    <row r="805" spans="6:6">
      <c r="F805" s="11"/>
    </row>
    <row r="806" spans="6:6">
      <c r="F806" s="11"/>
    </row>
    <row r="807" spans="6:6">
      <c r="F807" s="11"/>
    </row>
    <row r="808" spans="6:6">
      <c r="F808" s="11"/>
    </row>
    <row r="809" spans="6:6">
      <c r="F809" s="11"/>
    </row>
    <row r="810" spans="6:6">
      <c r="F810" s="11"/>
    </row>
    <row r="811" spans="6:6">
      <c r="F811" s="11"/>
    </row>
    <row r="812" spans="6:6">
      <c r="F812" s="11"/>
    </row>
    <row r="813" spans="6:6">
      <c r="F813" s="11"/>
    </row>
    <row r="814" spans="6:6">
      <c r="F814" s="11"/>
    </row>
    <row r="815" spans="6:6">
      <c r="F815" s="11"/>
    </row>
    <row r="816" spans="6:6">
      <c r="F816" s="11"/>
    </row>
    <row r="817" spans="6:6">
      <c r="F817" s="11"/>
    </row>
    <row r="818" spans="6:6">
      <c r="F818" s="11"/>
    </row>
    <row r="819" spans="6:6">
      <c r="F819" s="11"/>
    </row>
    <row r="820" spans="6:6">
      <c r="F820" s="11"/>
    </row>
    <row r="821" spans="6:6">
      <c r="F821" s="11"/>
    </row>
    <row r="822" spans="6:6">
      <c r="F822" s="11"/>
    </row>
    <row r="823" spans="6:6">
      <c r="F823" s="11"/>
    </row>
    <row r="824" spans="6:6">
      <c r="F824" s="11"/>
    </row>
    <row r="825" spans="6:6">
      <c r="F825" s="11"/>
    </row>
    <row r="826" spans="6:6">
      <c r="F826" s="11"/>
    </row>
    <row r="827" spans="6:6">
      <c r="F827" s="11"/>
    </row>
    <row r="828" spans="6:6">
      <c r="F828" s="11"/>
    </row>
    <row r="829" spans="6:6">
      <c r="F829" s="11"/>
    </row>
    <row r="830" spans="6:6">
      <c r="F830" s="11"/>
    </row>
    <row r="831" spans="6:6">
      <c r="F831" s="11"/>
    </row>
    <row r="832" spans="6:6">
      <c r="F832" s="11"/>
    </row>
    <row r="833" spans="6:6">
      <c r="F833" s="11"/>
    </row>
    <row r="834" spans="6:6">
      <c r="F834" s="11"/>
    </row>
    <row r="835" spans="6:6">
      <c r="F835" s="11"/>
    </row>
    <row r="836" spans="6:6">
      <c r="F836" s="11"/>
    </row>
    <row r="837" spans="6:6">
      <c r="F837" s="11"/>
    </row>
    <row r="838" spans="6:6">
      <c r="F838" s="11"/>
    </row>
    <row r="839" spans="6:6">
      <c r="F839" s="11"/>
    </row>
    <row r="840" spans="6:6">
      <c r="F840" s="11"/>
    </row>
    <row r="841" spans="6:6">
      <c r="F841" s="11"/>
    </row>
    <row r="842" spans="6:6">
      <c r="F842" s="11"/>
    </row>
    <row r="843" spans="6:6">
      <c r="F843" s="11"/>
    </row>
    <row r="844" spans="6:6">
      <c r="F844" s="11"/>
    </row>
    <row r="845" spans="6:6">
      <c r="F845" s="11"/>
    </row>
    <row r="846" spans="6:6">
      <c r="F846" s="11"/>
    </row>
    <row r="847" spans="6:6">
      <c r="F847" s="11"/>
    </row>
    <row r="848" spans="6:6">
      <c r="F848" s="11"/>
    </row>
    <row r="849" spans="6:6">
      <c r="F849" s="11"/>
    </row>
    <row r="850" spans="6:6">
      <c r="F850" s="11"/>
    </row>
    <row r="851" spans="6:6">
      <c r="F851" s="11"/>
    </row>
    <row r="852" spans="6:6">
      <c r="F852" s="11"/>
    </row>
    <row r="853" spans="6:6">
      <c r="F853" s="11"/>
    </row>
    <row r="854" spans="6:6">
      <c r="F854" s="11"/>
    </row>
    <row r="855" spans="6:6">
      <c r="F855" s="11"/>
    </row>
    <row r="856" spans="6:6">
      <c r="F856" s="11"/>
    </row>
    <row r="857" spans="6:6">
      <c r="F857" s="11"/>
    </row>
    <row r="858" spans="6:6">
      <c r="F858" s="11"/>
    </row>
    <row r="859" spans="6:6">
      <c r="F859" s="11"/>
    </row>
    <row r="860" spans="6:6">
      <c r="F860" s="11"/>
    </row>
    <row r="861" spans="6:6">
      <c r="F861" s="11"/>
    </row>
    <row r="862" spans="6:6">
      <c r="F862" s="11"/>
    </row>
    <row r="863" spans="6:6">
      <c r="F863" s="11"/>
    </row>
    <row r="864" spans="6:6">
      <c r="F864" s="11"/>
    </row>
    <row r="865" spans="6:6">
      <c r="F865" s="11"/>
    </row>
    <row r="866" spans="6:6">
      <c r="F866" s="11"/>
    </row>
    <row r="867" spans="6:6">
      <c r="F867" s="11"/>
    </row>
    <row r="868" spans="6:6">
      <c r="F868" s="11"/>
    </row>
    <row r="869" spans="6:6">
      <c r="F869" s="11"/>
    </row>
    <row r="870" spans="6:6">
      <c r="F870" s="11"/>
    </row>
    <row r="871" spans="6:6">
      <c r="F871" s="11"/>
    </row>
    <row r="872" spans="6:6">
      <c r="F872" s="11"/>
    </row>
    <row r="873" spans="6:6">
      <c r="F873" s="11"/>
    </row>
    <row r="874" spans="6:6">
      <c r="F874" s="11"/>
    </row>
    <row r="875" spans="6:6">
      <c r="F875" s="11"/>
    </row>
    <row r="876" spans="6:6">
      <c r="F876" s="11"/>
    </row>
    <row r="877" spans="6:6">
      <c r="F877" s="11"/>
    </row>
    <row r="878" spans="6:6">
      <c r="F878" s="11"/>
    </row>
    <row r="879" spans="6:6">
      <c r="F879" s="11"/>
    </row>
    <row r="880" spans="6:6">
      <c r="F880" s="11"/>
    </row>
    <row r="881" spans="6:6">
      <c r="F881" s="11"/>
    </row>
    <row r="882" spans="6:6">
      <c r="F882" s="11"/>
    </row>
    <row r="883" spans="6:6">
      <c r="F883" s="11"/>
    </row>
    <row r="884" spans="6:6">
      <c r="F884" s="11"/>
    </row>
    <row r="885" spans="6:6">
      <c r="F885" s="11"/>
    </row>
    <row r="886" spans="6:6">
      <c r="F886" s="11"/>
    </row>
    <row r="887" spans="6:6">
      <c r="F887" s="11"/>
    </row>
    <row r="888" spans="6:6">
      <c r="F888" s="11"/>
    </row>
    <row r="889" spans="6:6">
      <c r="F889" s="11"/>
    </row>
    <row r="890" spans="6:6">
      <c r="F890" s="11"/>
    </row>
    <row r="891" spans="6:6">
      <c r="F891" s="11"/>
    </row>
    <row r="892" spans="6:6">
      <c r="F892" s="11"/>
    </row>
    <row r="893" spans="6:6">
      <c r="F893" s="11"/>
    </row>
    <row r="894" spans="6:6">
      <c r="F894" s="11"/>
    </row>
    <row r="895" spans="6:6">
      <c r="F895" s="11"/>
    </row>
    <row r="896" spans="6:6">
      <c r="F896" s="11"/>
    </row>
    <row r="897" spans="6:6">
      <c r="F897" s="11"/>
    </row>
    <row r="898" spans="6:6">
      <c r="F898" s="11"/>
    </row>
    <row r="899" spans="6:6">
      <c r="F899" s="11"/>
    </row>
    <row r="900" spans="6:6">
      <c r="F900" s="11"/>
    </row>
    <row r="901" spans="6:6">
      <c r="F901" s="11"/>
    </row>
    <row r="902" spans="6:6">
      <c r="F902" s="11"/>
    </row>
    <row r="903" spans="6:6">
      <c r="F903" s="11"/>
    </row>
    <row r="904" spans="6:6">
      <c r="F904" s="11"/>
    </row>
    <row r="905" spans="6:6">
      <c r="F905" s="11"/>
    </row>
    <row r="906" spans="6:6">
      <c r="F906" s="11"/>
    </row>
    <row r="907" spans="6:6">
      <c r="F907" s="11"/>
    </row>
    <row r="908" spans="6:6">
      <c r="F908" s="11"/>
    </row>
    <row r="909" spans="6:6">
      <c r="F909" s="11"/>
    </row>
    <row r="910" spans="6:6">
      <c r="F910" s="11"/>
    </row>
    <row r="911" spans="6:6">
      <c r="F911" s="11"/>
    </row>
    <row r="912" spans="6:6">
      <c r="F912" s="11"/>
    </row>
    <row r="913" spans="6:6">
      <c r="F913" s="11"/>
    </row>
    <row r="914" spans="6:6">
      <c r="F914" s="11"/>
    </row>
    <row r="915" spans="6:6">
      <c r="F915" s="11"/>
    </row>
    <row r="916" spans="6:6">
      <c r="F916" s="11"/>
    </row>
    <row r="917" spans="6:6">
      <c r="F917" s="11"/>
    </row>
    <row r="918" spans="6:6">
      <c r="F918" s="11"/>
    </row>
    <row r="919" spans="6:6">
      <c r="F919" s="11"/>
    </row>
    <row r="920" spans="6:6">
      <c r="F920" s="11"/>
    </row>
    <row r="921" spans="6:6">
      <c r="F921" s="11"/>
    </row>
    <row r="922" spans="6:6">
      <c r="F922" s="11"/>
    </row>
    <row r="923" spans="6:6">
      <c r="F923" s="11"/>
    </row>
    <row r="924" spans="6:6">
      <c r="F924" s="11"/>
    </row>
    <row r="925" spans="6:6">
      <c r="F925" s="11"/>
    </row>
    <row r="926" spans="6:6">
      <c r="F926" s="11"/>
    </row>
    <row r="927" spans="6:6">
      <c r="F927" s="11"/>
    </row>
    <row r="928" spans="6:6">
      <c r="F928" s="11"/>
    </row>
    <row r="929" spans="6:6">
      <c r="F929" s="11"/>
    </row>
    <row r="930" spans="6:6">
      <c r="F930" s="11"/>
    </row>
    <row r="931" spans="6:6">
      <c r="F931" s="11"/>
    </row>
    <row r="932" spans="6:6">
      <c r="F932" s="11"/>
    </row>
    <row r="933" spans="6:6">
      <c r="F933" s="11"/>
    </row>
    <row r="934" spans="6:6">
      <c r="F934" s="11"/>
    </row>
    <row r="935" spans="6:6">
      <c r="F935" s="11"/>
    </row>
    <row r="936" spans="6:6">
      <c r="F936" s="11"/>
    </row>
    <row r="937" spans="6:6">
      <c r="F937" s="11"/>
    </row>
    <row r="938" spans="6:6">
      <c r="F938" s="11"/>
    </row>
    <row r="939" spans="6:6">
      <c r="F939" s="11"/>
    </row>
    <row r="940" spans="6:6">
      <c r="F940" s="11"/>
    </row>
    <row r="941" spans="6:6">
      <c r="F941" s="11"/>
    </row>
    <row r="942" spans="6:6">
      <c r="F942" s="11"/>
    </row>
    <row r="943" spans="6:6">
      <c r="F943" s="11"/>
    </row>
    <row r="944" spans="6:6">
      <c r="F944" s="11"/>
    </row>
    <row r="945" spans="6:6">
      <c r="F945" s="11"/>
    </row>
    <row r="946" spans="6:6">
      <c r="F946" s="11"/>
    </row>
    <row r="947" spans="6:6">
      <c r="F947" s="11"/>
    </row>
    <row r="948" spans="6:6">
      <c r="F948" s="11"/>
    </row>
    <row r="949" spans="6:6">
      <c r="F949" s="11"/>
    </row>
    <row r="950" spans="6:6">
      <c r="F950" s="11"/>
    </row>
    <row r="951" spans="6:6">
      <c r="F951" s="11"/>
    </row>
    <row r="952" spans="6:6">
      <c r="F952" s="11"/>
    </row>
    <row r="953" spans="6:6">
      <c r="F953" s="11"/>
    </row>
    <row r="954" spans="6:6">
      <c r="F954" s="11"/>
    </row>
    <row r="955" spans="6:6">
      <c r="F955" s="11"/>
    </row>
    <row r="956" spans="6:6">
      <c r="F956" s="11"/>
    </row>
    <row r="957" spans="6:6">
      <c r="F957" s="11"/>
    </row>
    <row r="958" spans="6:6">
      <c r="F958" s="11"/>
    </row>
    <row r="959" spans="6:6">
      <c r="F959" s="11"/>
    </row>
    <row r="960" spans="6:6">
      <c r="F960" s="11"/>
    </row>
    <row r="961" spans="6:6">
      <c r="F961" s="11"/>
    </row>
    <row r="962" spans="6:6">
      <c r="F962" s="11"/>
    </row>
    <row r="963" spans="6:6">
      <c r="F963" s="11"/>
    </row>
    <row r="964" spans="6:6">
      <c r="F964" s="11"/>
    </row>
    <row r="965" spans="6:6">
      <c r="F965" s="11"/>
    </row>
    <row r="966" spans="6:6">
      <c r="F966" s="11"/>
    </row>
    <row r="967" spans="6:6">
      <c r="F967" s="11"/>
    </row>
    <row r="968" spans="6:6">
      <c r="F968" s="11"/>
    </row>
    <row r="969" spans="6:6">
      <c r="F969" s="11"/>
    </row>
    <row r="970" spans="6:6">
      <c r="F970" s="11"/>
    </row>
    <row r="971" spans="6:6">
      <c r="F971" s="11"/>
    </row>
    <row r="972" spans="6:6">
      <c r="F972" s="11"/>
    </row>
    <row r="973" spans="6:6">
      <c r="F973" s="11"/>
    </row>
    <row r="974" spans="6:6">
      <c r="F974" s="11"/>
    </row>
    <row r="975" spans="6:6">
      <c r="F975" s="11"/>
    </row>
    <row r="976" spans="6:6">
      <c r="F976" s="11"/>
    </row>
    <row r="977" spans="6:6">
      <c r="F977" s="11"/>
    </row>
    <row r="978" spans="6:6">
      <c r="F978" s="11"/>
    </row>
    <row r="979" spans="6:6">
      <c r="F979" s="11"/>
    </row>
    <row r="980" spans="6:6">
      <c r="F980" s="11"/>
    </row>
    <row r="981" spans="6:6">
      <c r="F981" s="11"/>
    </row>
    <row r="982" spans="6:6">
      <c r="F982" s="11"/>
    </row>
    <row r="983" spans="6:6">
      <c r="F983" s="11"/>
    </row>
    <row r="984" spans="6:6">
      <c r="F984" s="11"/>
    </row>
    <row r="985" spans="6:6">
      <c r="F985" s="11"/>
    </row>
    <row r="986" spans="6:6">
      <c r="F986" s="11"/>
    </row>
    <row r="987" spans="6:6">
      <c r="F987" s="11"/>
    </row>
    <row r="988" spans="6:6">
      <c r="F988" s="11"/>
    </row>
    <row r="989" spans="6:6">
      <c r="F989" s="11"/>
    </row>
    <row r="990" spans="6:6">
      <c r="F990" s="11"/>
    </row>
    <row r="991" spans="6:6">
      <c r="F991" s="11"/>
    </row>
    <row r="992" spans="6:6">
      <c r="F992" s="11"/>
    </row>
    <row r="993" spans="6:6">
      <c r="F993" s="11"/>
    </row>
    <row r="994" spans="6:6">
      <c r="F994" s="11"/>
    </row>
    <row r="995" spans="6:6">
      <c r="F995" s="11"/>
    </row>
    <row r="996" spans="6:6">
      <c r="F996" s="11"/>
    </row>
    <row r="997" spans="6:6">
      <c r="F997" s="11"/>
    </row>
    <row r="998" spans="6:6">
      <c r="F998" s="11"/>
    </row>
    <row r="999" spans="6:6">
      <c r="F999" s="11"/>
    </row>
    <row r="1000" spans="6:6">
      <c r="F1000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opLeftCell="A37" workbookViewId="0">
      <selection activeCell="F38" sqref="F38"/>
    </sheetView>
  </sheetViews>
  <sheetFormatPr defaultColWidth="14.42578125" defaultRowHeight="15.75" customHeight="1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>
        <v>0.40114583333333331</v>
      </c>
      <c r="B2" s="4" t="s">
        <v>6</v>
      </c>
      <c r="C2" s="4" t="s">
        <v>8</v>
      </c>
      <c r="D2" s="9">
        <v>1696.7</v>
      </c>
      <c r="E2" s="12">
        <v>1</v>
      </c>
      <c r="F2" s="13">
        <f t="shared" ref="F2:F37" si="0">IF(C2="Продажа",D2*E2,-D2*E2)</f>
        <v>-1696.7</v>
      </c>
    </row>
    <row r="3" spans="1:6">
      <c r="A3" s="7">
        <v>0.40114583333333331</v>
      </c>
      <c r="B3" s="4" t="s">
        <v>6</v>
      </c>
      <c r="C3" s="4" t="s">
        <v>8</v>
      </c>
      <c r="D3" s="12">
        <v>1696.7</v>
      </c>
      <c r="E3" s="12">
        <v>8</v>
      </c>
      <c r="F3" s="13">
        <f t="shared" si="0"/>
        <v>-13573.6</v>
      </c>
    </row>
    <row r="4" spans="1:6">
      <c r="A4" s="7">
        <v>0.40114583333333331</v>
      </c>
      <c r="B4" s="4" t="s">
        <v>6</v>
      </c>
      <c r="C4" s="4" t="s">
        <v>8</v>
      </c>
      <c r="D4" s="12">
        <v>1696.7</v>
      </c>
      <c r="E4" s="12">
        <v>3</v>
      </c>
      <c r="F4" s="13">
        <f t="shared" si="0"/>
        <v>-5090.1000000000004</v>
      </c>
    </row>
    <row r="5" spans="1:6">
      <c r="A5" s="7">
        <v>0.37113425925925925</v>
      </c>
      <c r="B5" s="4" t="s">
        <v>10</v>
      </c>
      <c r="C5" s="4" t="s">
        <v>7</v>
      </c>
      <c r="D5" s="12">
        <v>2.7189999999999999</v>
      </c>
      <c r="E5" s="12">
        <v>1</v>
      </c>
      <c r="F5" s="13">
        <f t="shared" si="0"/>
        <v>2.7189999999999999</v>
      </c>
    </row>
    <row r="6" spans="1:6">
      <c r="A6" s="7">
        <v>0.37040509259259258</v>
      </c>
      <c r="B6" s="4" t="s">
        <v>10</v>
      </c>
      <c r="C6" s="4" t="s">
        <v>7</v>
      </c>
      <c r="D6" s="12">
        <v>2.7189999999999999</v>
      </c>
      <c r="E6" s="12">
        <v>2</v>
      </c>
      <c r="F6" s="13">
        <f t="shared" si="0"/>
        <v>5.4379999999999997</v>
      </c>
    </row>
    <row r="7" spans="1:6">
      <c r="A7" s="7">
        <v>0.36283564814814817</v>
      </c>
      <c r="B7" s="4" t="s">
        <v>12</v>
      </c>
      <c r="C7" s="4" t="s">
        <v>7</v>
      </c>
      <c r="D7" s="12">
        <v>66.790000000000006</v>
      </c>
      <c r="E7" s="12">
        <v>1</v>
      </c>
      <c r="F7" s="13">
        <f t="shared" si="0"/>
        <v>66.790000000000006</v>
      </c>
    </row>
    <row r="8" spans="1:6">
      <c r="A8" s="7">
        <v>0.33888888888888891</v>
      </c>
      <c r="B8" s="4" t="s">
        <v>10</v>
      </c>
      <c r="C8" s="4" t="s">
        <v>8</v>
      </c>
      <c r="D8" s="12">
        <v>2.7170000000000001</v>
      </c>
      <c r="E8" s="12">
        <v>3</v>
      </c>
      <c r="F8" s="13">
        <f t="shared" si="0"/>
        <v>-8.1509999999999998</v>
      </c>
    </row>
    <row r="9" spans="1:6">
      <c r="A9" s="7">
        <v>0.33131944444444444</v>
      </c>
      <c r="B9" s="4" t="s">
        <v>10</v>
      </c>
      <c r="C9" s="4" t="s">
        <v>7</v>
      </c>
      <c r="D9" s="12">
        <v>2.72</v>
      </c>
      <c r="E9" s="12">
        <v>1</v>
      </c>
      <c r="F9" s="13">
        <f t="shared" si="0"/>
        <v>2.72</v>
      </c>
    </row>
    <row r="10" spans="1:6">
      <c r="A10" s="7">
        <v>0.32811342592592591</v>
      </c>
      <c r="B10" s="4" t="s">
        <v>10</v>
      </c>
      <c r="C10" s="4" t="s">
        <v>8</v>
      </c>
      <c r="D10" s="12">
        <v>2.7189999999999999</v>
      </c>
      <c r="E10" s="12">
        <v>1</v>
      </c>
      <c r="F10" s="13">
        <f t="shared" si="0"/>
        <v>-2.7189999999999999</v>
      </c>
    </row>
    <row r="11" spans="1:6">
      <c r="A11" s="7">
        <v>0.32799768518518518</v>
      </c>
      <c r="B11" s="4" t="s">
        <v>12</v>
      </c>
      <c r="C11" s="4" t="s">
        <v>8</v>
      </c>
      <c r="D11" s="12">
        <v>66.739999999999995</v>
      </c>
      <c r="E11" s="12">
        <v>1</v>
      </c>
      <c r="F11" s="13">
        <f t="shared" si="0"/>
        <v>-66.739999999999995</v>
      </c>
    </row>
    <row r="12" spans="1:6">
      <c r="A12" s="7">
        <v>0.31962962962962965</v>
      </c>
      <c r="B12" s="4" t="s">
        <v>6</v>
      </c>
      <c r="C12" s="4" t="s">
        <v>8</v>
      </c>
      <c r="D12" s="12">
        <v>1695.7</v>
      </c>
      <c r="E12" s="12">
        <v>3</v>
      </c>
      <c r="F12" s="13">
        <f t="shared" si="0"/>
        <v>-5087.1000000000004</v>
      </c>
    </row>
    <row r="13" spans="1:6">
      <c r="A13" s="7">
        <v>0.31903935185185184</v>
      </c>
      <c r="B13" s="4" t="s">
        <v>6</v>
      </c>
      <c r="C13" s="4" t="s">
        <v>8</v>
      </c>
      <c r="D13" s="12">
        <v>1695.8</v>
      </c>
      <c r="E13" s="12">
        <v>3</v>
      </c>
      <c r="F13" s="13">
        <f t="shared" si="0"/>
        <v>-5087.3999999999996</v>
      </c>
    </row>
    <row r="14" spans="1:6">
      <c r="A14" s="7">
        <v>0.31789351851851849</v>
      </c>
      <c r="B14" s="4" t="s">
        <v>6</v>
      </c>
      <c r="C14" s="4" t="s">
        <v>8</v>
      </c>
      <c r="D14" s="12">
        <v>1696.4</v>
      </c>
      <c r="E14" s="12">
        <v>6</v>
      </c>
      <c r="F14" s="13">
        <f t="shared" si="0"/>
        <v>-10178.400000000001</v>
      </c>
    </row>
    <row r="15" spans="1:6">
      <c r="A15" s="7">
        <v>0.30788194444444444</v>
      </c>
      <c r="B15" s="4" t="s">
        <v>12</v>
      </c>
      <c r="C15" s="4" t="s">
        <v>8</v>
      </c>
      <c r="D15" s="12">
        <v>66.8</v>
      </c>
      <c r="E15" s="12">
        <v>3</v>
      </c>
      <c r="F15" s="13">
        <f t="shared" si="0"/>
        <v>-200.39999999999998</v>
      </c>
    </row>
    <row r="16" spans="1:6">
      <c r="A16" s="7">
        <v>0.30784722222222222</v>
      </c>
      <c r="B16" s="4" t="s">
        <v>12</v>
      </c>
      <c r="C16" s="4" t="s">
        <v>8</v>
      </c>
      <c r="D16" s="12">
        <v>66.8</v>
      </c>
      <c r="E16" s="12">
        <v>1</v>
      </c>
      <c r="F16" s="13">
        <f t="shared" si="0"/>
        <v>-66.8</v>
      </c>
    </row>
    <row r="17" spans="1:6">
      <c r="A17" s="7">
        <v>0.30692129629629628</v>
      </c>
      <c r="B17" s="4" t="s">
        <v>6</v>
      </c>
      <c r="C17" s="4" t="s">
        <v>7</v>
      </c>
      <c r="D17" s="12">
        <v>1696.6</v>
      </c>
      <c r="E17" s="12">
        <v>1</v>
      </c>
      <c r="F17" s="13">
        <f t="shared" si="0"/>
        <v>1696.6</v>
      </c>
    </row>
    <row r="18" spans="1:6">
      <c r="A18" s="7">
        <v>0.30686342592592591</v>
      </c>
      <c r="B18" s="4" t="s">
        <v>12</v>
      </c>
      <c r="C18" s="4" t="s">
        <v>8</v>
      </c>
      <c r="D18" s="12">
        <v>66.8</v>
      </c>
      <c r="E18" s="12">
        <v>3</v>
      </c>
      <c r="F18" s="13">
        <f t="shared" si="0"/>
        <v>-200.39999999999998</v>
      </c>
    </row>
    <row r="19" spans="1:6">
      <c r="A19" s="7">
        <v>0.30686342592592591</v>
      </c>
      <c r="B19" s="4" t="s">
        <v>12</v>
      </c>
      <c r="C19" s="4" t="s">
        <v>8</v>
      </c>
      <c r="D19" s="12">
        <v>66.8</v>
      </c>
      <c r="E19" s="12">
        <v>1</v>
      </c>
      <c r="F19" s="13">
        <f t="shared" si="0"/>
        <v>-66.8</v>
      </c>
    </row>
    <row r="20" spans="1:6">
      <c r="A20" s="7">
        <v>0.30686342592592591</v>
      </c>
      <c r="B20" s="4" t="s">
        <v>12</v>
      </c>
      <c r="C20" s="4" t="s">
        <v>8</v>
      </c>
      <c r="D20" s="12">
        <v>66.8</v>
      </c>
      <c r="E20" s="12">
        <v>1</v>
      </c>
      <c r="F20" s="13">
        <f t="shared" si="0"/>
        <v>-66.8</v>
      </c>
    </row>
    <row r="21" spans="1:6">
      <c r="A21" s="7">
        <v>0.30686342592592591</v>
      </c>
      <c r="B21" s="4" t="s">
        <v>12</v>
      </c>
      <c r="C21" s="4" t="s">
        <v>8</v>
      </c>
      <c r="D21" s="12">
        <v>66.8</v>
      </c>
      <c r="E21" s="12">
        <v>1</v>
      </c>
      <c r="F21" s="13">
        <f t="shared" si="0"/>
        <v>-66.8</v>
      </c>
    </row>
    <row r="22" spans="1:6">
      <c r="A22" s="7">
        <v>0.30562499999999998</v>
      </c>
      <c r="B22" s="4" t="s">
        <v>6</v>
      </c>
      <c r="C22" s="4" t="s">
        <v>8</v>
      </c>
      <c r="D22" s="12">
        <v>1695.7</v>
      </c>
      <c r="E22" s="12">
        <v>1</v>
      </c>
      <c r="F22" s="13">
        <f t="shared" si="0"/>
        <v>-1695.7</v>
      </c>
    </row>
    <row r="23" spans="1:6">
      <c r="A23" s="7">
        <v>0.30539351851851854</v>
      </c>
      <c r="B23" s="4" t="s">
        <v>6</v>
      </c>
      <c r="C23" s="4" t="s">
        <v>8</v>
      </c>
      <c r="D23" s="12">
        <v>1695.8</v>
      </c>
      <c r="E23" s="12">
        <v>1</v>
      </c>
      <c r="F23" s="13">
        <f t="shared" si="0"/>
        <v>-1695.8</v>
      </c>
    </row>
    <row r="24" spans="1:6">
      <c r="A24" s="7">
        <v>0.30434027777777778</v>
      </c>
      <c r="B24" s="4" t="s">
        <v>6</v>
      </c>
      <c r="C24" s="4" t="s">
        <v>7</v>
      </c>
      <c r="D24" s="12">
        <v>1696.7</v>
      </c>
      <c r="E24" s="12">
        <v>14</v>
      </c>
      <c r="F24" s="13">
        <f t="shared" si="0"/>
        <v>23753.8</v>
      </c>
    </row>
    <row r="25" spans="1:6">
      <c r="A25" s="7">
        <v>0.30434027777777778</v>
      </c>
      <c r="B25" s="4" t="s">
        <v>6</v>
      </c>
      <c r="C25" s="4" t="s">
        <v>7</v>
      </c>
      <c r="D25" s="12">
        <v>1695.9</v>
      </c>
      <c r="E25" s="12">
        <v>1</v>
      </c>
      <c r="F25" s="13">
        <f t="shared" si="0"/>
        <v>1695.9</v>
      </c>
    </row>
    <row r="26" spans="1:6">
      <c r="A26" s="7">
        <v>0.30429398148148146</v>
      </c>
      <c r="B26" s="4" t="s">
        <v>6</v>
      </c>
      <c r="C26" s="4" t="s">
        <v>7</v>
      </c>
      <c r="D26" s="12">
        <v>1695.9</v>
      </c>
      <c r="E26" s="12">
        <v>2</v>
      </c>
      <c r="F26" s="13">
        <f t="shared" si="0"/>
        <v>3391.8</v>
      </c>
    </row>
    <row r="27" spans="1:6">
      <c r="A27" s="7">
        <v>0.30429398148148146</v>
      </c>
      <c r="B27" s="4" t="s">
        <v>6</v>
      </c>
      <c r="C27" s="4" t="s">
        <v>7</v>
      </c>
      <c r="D27" s="12">
        <v>1695.8</v>
      </c>
      <c r="E27" s="12">
        <v>3</v>
      </c>
      <c r="F27" s="13">
        <f t="shared" si="0"/>
        <v>5087.3999999999996</v>
      </c>
    </row>
    <row r="28" spans="1:6">
      <c r="A28" s="7">
        <v>0.30429398148148146</v>
      </c>
      <c r="B28" s="4" t="s">
        <v>6</v>
      </c>
      <c r="C28" s="4" t="s">
        <v>7</v>
      </c>
      <c r="D28" s="12">
        <v>1695.6</v>
      </c>
      <c r="E28" s="12">
        <v>3</v>
      </c>
      <c r="F28" s="13">
        <f t="shared" si="0"/>
        <v>5086.7999999999993</v>
      </c>
    </row>
    <row r="29" spans="1:6">
      <c r="A29" s="7">
        <v>0.30429398148148146</v>
      </c>
      <c r="B29" s="4" t="s">
        <v>6</v>
      </c>
      <c r="C29" s="4" t="s">
        <v>7</v>
      </c>
      <c r="D29" s="12">
        <v>1695.5</v>
      </c>
      <c r="E29" s="12">
        <v>1</v>
      </c>
      <c r="F29" s="13">
        <f t="shared" si="0"/>
        <v>1695.5</v>
      </c>
    </row>
    <row r="30" spans="1:6">
      <c r="A30" s="7">
        <v>0.30424768518518519</v>
      </c>
      <c r="B30" s="4" t="s">
        <v>6</v>
      </c>
      <c r="C30" s="4" t="s">
        <v>7</v>
      </c>
      <c r="D30" s="12">
        <v>1695.5</v>
      </c>
      <c r="E30" s="12">
        <v>1</v>
      </c>
      <c r="F30" s="13">
        <f t="shared" si="0"/>
        <v>1695.5</v>
      </c>
    </row>
    <row r="31" spans="1:6">
      <c r="A31" s="7">
        <v>0.30396990740740742</v>
      </c>
      <c r="B31" s="4" t="s">
        <v>6</v>
      </c>
      <c r="C31" s="4" t="s">
        <v>7</v>
      </c>
      <c r="D31" s="12">
        <v>1695.5</v>
      </c>
      <c r="E31" s="12">
        <v>1</v>
      </c>
      <c r="F31" s="13">
        <f t="shared" si="0"/>
        <v>1695.5</v>
      </c>
    </row>
    <row r="32" spans="1:6">
      <c r="A32" s="7">
        <v>0.30310185185185184</v>
      </c>
      <c r="B32" s="4" t="s">
        <v>6</v>
      </c>
      <c r="C32" s="4" t="s">
        <v>8</v>
      </c>
      <c r="D32" s="12">
        <v>1696</v>
      </c>
      <c r="E32" s="12">
        <v>1</v>
      </c>
      <c r="F32" s="13">
        <f t="shared" si="0"/>
        <v>-1696</v>
      </c>
    </row>
    <row r="33" spans="1:6">
      <c r="A33" s="7">
        <v>0.30310185185185184</v>
      </c>
      <c r="B33" s="4" t="s">
        <v>6</v>
      </c>
      <c r="C33" s="4" t="s">
        <v>8</v>
      </c>
      <c r="D33" s="12">
        <v>1696</v>
      </c>
      <c r="E33" s="12">
        <v>1</v>
      </c>
      <c r="F33" s="13">
        <f t="shared" si="0"/>
        <v>-1696</v>
      </c>
    </row>
    <row r="34" spans="1:6">
      <c r="A34" s="7">
        <v>0.30304398148148148</v>
      </c>
      <c r="B34" s="4" t="s">
        <v>6</v>
      </c>
      <c r="C34" s="4" t="s">
        <v>8</v>
      </c>
      <c r="D34" s="12">
        <v>1695.4</v>
      </c>
      <c r="E34" s="12">
        <v>14</v>
      </c>
      <c r="F34" s="13">
        <f t="shared" si="0"/>
        <v>-23735.600000000002</v>
      </c>
    </row>
    <row r="35" spans="1:6">
      <c r="A35" s="7">
        <v>0.30304398148148148</v>
      </c>
      <c r="B35" s="4" t="s">
        <v>6</v>
      </c>
      <c r="C35" s="4" t="s">
        <v>8</v>
      </c>
      <c r="D35" s="12">
        <v>1696.1</v>
      </c>
      <c r="E35" s="12">
        <v>2</v>
      </c>
      <c r="F35" s="13">
        <f t="shared" si="0"/>
        <v>-3392.2</v>
      </c>
    </row>
    <row r="36" spans="1:6">
      <c r="A36" s="7">
        <v>0.30273148148148149</v>
      </c>
      <c r="B36" s="4" t="s">
        <v>6</v>
      </c>
      <c r="C36" s="4" t="s">
        <v>7</v>
      </c>
      <c r="D36" s="12">
        <v>1696.7</v>
      </c>
      <c r="E36" s="12">
        <v>5</v>
      </c>
      <c r="F36" s="13">
        <f t="shared" si="0"/>
        <v>8483.5</v>
      </c>
    </row>
    <row r="37" spans="1:6">
      <c r="A37" s="7">
        <v>0.29614583333333333</v>
      </c>
      <c r="B37" s="4" t="s">
        <v>12</v>
      </c>
      <c r="C37" s="4" t="s">
        <v>7</v>
      </c>
      <c r="D37" s="12">
        <v>66.72</v>
      </c>
      <c r="E37" s="12">
        <v>10</v>
      </c>
      <c r="F37" s="13">
        <f t="shared" si="0"/>
        <v>667.2</v>
      </c>
    </row>
    <row r="38" spans="1:6" ht="15.75" customHeight="1">
      <c r="D38" s="15"/>
      <c r="F38" s="14">
        <f>SUM(F2:F37)</f>
        <v>-20343.043000000027</v>
      </c>
    </row>
    <row r="39" spans="1:6">
      <c r="D39" s="15"/>
      <c r="F39" s="11"/>
    </row>
    <row r="40" spans="1:6">
      <c r="D40" s="15"/>
      <c r="F40" s="11"/>
    </row>
    <row r="41" spans="1:6">
      <c r="D41" s="15"/>
      <c r="F41" s="11"/>
    </row>
    <row r="42" spans="1:6">
      <c r="D42" s="15"/>
      <c r="F42" s="11"/>
    </row>
    <row r="43" spans="1:6">
      <c r="D43" s="15"/>
      <c r="F43" s="11"/>
    </row>
    <row r="44" spans="1:6">
      <c r="D44" s="15"/>
      <c r="F44" s="11"/>
    </row>
    <row r="45" spans="1:6">
      <c r="D45" s="15"/>
      <c r="F45" s="11"/>
    </row>
    <row r="46" spans="1:6">
      <c r="D46" s="15"/>
      <c r="F46" s="11"/>
    </row>
    <row r="47" spans="1:6">
      <c r="D47" s="15"/>
      <c r="F47" s="11"/>
    </row>
    <row r="48" spans="1:6">
      <c r="D48" s="15"/>
      <c r="F48" s="11"/>
    </row>
    <row r="49" spans="4:6">
      <c r="D49" s="15"/>
      <c r="F49" s="11"/>
    </row>
    <row r="50" spans="4:6">
      <c r="D50" s="15"/>
      <c r="F50" s="11"/>
    </row>
    <row r="51" spans="4:6">
      <c r="D51" s="15"/>
      <c r="F51" s="11"/>
    </row>
    <row r="52" spans="4:6">
      <c r="D52" s="15"/>
      <c r="F52" s="11"/>
    </row>
    <row r="53" spans="4:6">
      <c r="D53" s="15"/>
      <c r="F53" s="11"/>
    </row>
    <row r="54" spans="4:6">
      <c r="D54" s="15"/>
      <c r="F54" s="11"/>
    </row>
    <row r="55" spans="4:6">
      <c r="D55" s="15"/>
      <c r="F55" s="11"/>
    </row>
    <row r="56" spans="4:6">
      <c r="D56" s="15"/>
      <c r="F56" s="11"/>
    </row>
    <row r="57" spans="4:6">
      <c r="D57" s="15"/>
      <c r="F57" s="11"/>
    </row>
    <row r="58" spans="4:6">
      <c r="D58" s="15"/>
      <c r="F58" s="11"/>
    </row>
    <row r="59" spans="4:6">
      <c r="D59" s="15"/>
      <c r="F59" s="11"/>
    </row>
    <row r="60" spans="4:6">
      <c r="D60" s="15"/>
      <c r="F60" s="11"/>
    </row>
    <row r="61" spans="4:6">
      <c r="D61" s="15"/>
      <c r="F61" s="11"/>
    </row>
    <row r="62" spans="4:6">
      <c r="D62" s="15"/>
      <c r="F62" s="11"/>
    </row>
    <row r="63" spans="4:6">
      <c r="D63" s="15"/>
      <c r="F63" s="11"/>
    </row>
    <row r="64" spans="4:6">
      <c r="D64" s="15"/>
      <c r="F64" s="11"/>
    </row>
    <row r="65" spans="4:6">
      <c r="D65" s="15"/>
      <c r="F65" s="11"/>
    </row>
    <row r="66" spans="4:6">
      <c r="D66" s="15"/>
      <c r="F66" s="11"/>
    </row>
    <row r="67" spans="4:6">
      <c r="D67" s="15"/>
      <c r="F67" s="11"/>
    </row>
    <row r="68" spans="4:6">
      <c r="D68" s="15"/>
      <c r="F68" s="11"/>
    </row>
    <row r="69" spans="4:6">
      <c r="D69" s="15"/>
      <c r="F69" s="11"/>
    </row>
    <row r="70" spans="4:6">
      <c r="D70" s="15"/>
      <c r="F70" s="11"/>
    </row>
    <row r="71" spans="4:6">
      <c r="D71" s="15"/>
      <c r="F71" s="11"/>
    </row>
    <row r="72" spans="4:6">
      <c r="D72" s="15"/>
      <c r="F72" s="11"/>
    </row>
    <row r="73" spans="4:6">
      <c r="D73" s="15"/>
      <c r="F73" s="11"/>
    </row>
    <row r="74" spans="4:6">
      <c r="D74" s="15"/>
      <c r="F74" s="11"/>
    </row>
    <row r="75" spans="4:6">
      <c r="D75" s="15"/>
      <c r="F75" s="11"/>
    </row>
    <row r="76" spans="4:6">
      <c r="D76" s="15"/>
      <c r="F76" s="11"/>
    </row>
    <row r="77" spans="4:6">
      <c r="D77" s="15"/>
      <c r="F77" s="11"/>
    </row>
    <row r="78" spans="4:6">
      <c r="D78" s="15"/>
      <c r="F78" s="11"/>
    </row>
    <row r="79" spans="4:6">
      <c r="D79" s="15"/>
      <c r="F79" s="11"/>
    </row>
    <row r="80" spans="4:6">
      <c r="D80" s="15"/>
      <c r="F80" s="11"/>
    </row>
    <row r="81" spans="4:6">
      <c r="D81" s="15"/>
      <c r="F81" s="11"/>
    </row>
    <row r="82" spans="4:6">
      <c r="D82" s="15"/>
      <c r="F82" s="11"/>
    </row>
    <row r="83" spans="4:6">
      <c r="D83" s="15"/>
      <c r="F83" s="11"/>
    </row>
    <row r="84" spans="4:6">
      <c r="D84" s="15"/>
      <c r="F84" s="11"/>
    </row>
    <row r="85" spans="4:6">
      <c r="D85" s="15"/>
      <c r="F85" s="11"/>
    </row>
    <row r="86" spans="4:6">
      <c r="D86" s="15"/>
      <c r="F86" s="11"/>
    </row>
    <row r="87" spans="4:6">
      <c r="D87" s="15"/>
      <c r="F87" s="11"/>
    </row>
    <row r="88" spans="4:6">
      <c r="D88" s="15"/>
      <c r="F88" s="11"/>
    </row>
    <row r="89" spans="4:6">
      <c r="D89" s="15"/>
      <c r="F89" s="11"/>
    </row>
    <row r="90" spans="4:6">
      <c r="D90" s="15"/>
      <c r="F90" s="11"/>
    </row>
    <row r="91" spans="4:6">
      <c r="D91" s="15"/>
      <c r="F91" s="11"/>
    </row>
    <row r="92" spans="4:6">
      <c r="D92" s="15"/>
      <c r="F92" s="11"/>
    </row>
    <row r="93" spans="4:6">
      <c r="D93" s="15"/>
      <c r="F93" s="11"/>
    </row>
    <row r="94" spans="4:6">
      <c r="D94" s="15"/>
      <c r="F94" s="11"/>
    </row>
    <row r="95" spans="4:6">
      <c r="D95" s="15"/>
      <c r="F95" s="11"/>
    </row>
    <row r="96" spans="4:6">
      <c r="D96" s="15"/>
      <c r="F96" s="11"/>
    </row>
    <row r="97" spans="4:6">
      <c r="D97" s="15"/>
      <c r="F97" s="11"/>
    </row>
    <row r="98" spans="4:6">
      <c r="D98" s="15"/>
      <c r="F98" s="11"/>
    </row>
    <row r="99" spans="4:6">
      <c r="D99" s="15"/>
      <c r="F99" s="11"/>
    </row>
    <row r="100" spans="4:6">
      <c r="D100" s="15"/>
      <c r="F100" s="11"/>
    </row>
    <row r="101" spans="4:6">
      <c r="D101" s="15"/>
      <c r="F101" s="11"/>
    </row>
    <row r="102" spans="4:6">
      <c r="D102" s="15"/>
      <c r="F102" s="11"/>
    </row>
    <row r="103" spans="4:6">
      <c r="D103" s="15"/>
      <c r="F103" s="11"/>
    </row>
    <row r="104" spans="4:6">
      <c r="D104" s="15"/>
      <c r="F104" s="11"/>
    </row>
    <row r="105" spans="4:6">
      <c r="D105" s="15"/>
      <c r="F105" s="11"/>
    </row>
    <row r="106" spans="4:6">
      <c r="D106" s="15"/>
      <c r="F106" s="11"/>
    </row>
    <row r="107" spans="4:6">
      <c r="D107" s="15"/>
      <c r="F107" s="11"/>
    </row>
    <row r="108" spans="4:6">
      <c r="D108" s="15"/>
      <c r="F108" s="11"/>
    </row>
    <row r="109" spans="4:6">
      <c r="D109" s="15"/>
      <c r="F109" s="11"/>
    </row>
    <row r="110" spans="4:6">
      <c r="D110" s="15"/>
      <c r="F110" s="11"/>
    </row>
    <row r="111" spans="4:6">
      <c r="D111" s="15"/>
      <c r="F111" s="11"/>
    </row>
    <row r="112" spans="4:6">
      <c r="D112" s="15"/>
      <c r="F112" s="11"/>
    </row>
    <row r="113" spans="4:6">
      <c r="D113" s="15"/>
      <c r="F113" s="11"/>
    </row>
    <row r="114" spans="4:6">
      <c r="D114" s="15"/>
      <c r="F114" s="11"/>
    </row>
    <row r="115" spans="4:6">
      <c r="D115" s="15"/>
      <c r="F115" s="11"/>
    </row>
    <row r="116" spans="4:6">
      <c r="D116" s="15"/>
      <c r="F116" s="11"/>
    </row>
    <row r="117" spans="4:6">
      <c r="D117" s="15"/>
      <c r="F117" s="11"/>
    </row>
    <row r="118" spans="4:6">
      <c r="D118" s="15"/>
      <c r="F118" s="11"/>
    </row>
    <row r="119" spans="4:6">
      <c r="D119" s="15"/>
      <c r="F119" s="11"/>
    </row>
    <row r="120" spans="4:6">
      <c r="D120" s="15"/>
      <c r="F120" s="11"/>
    </row>
    <row r="121" spans="4:6">
      <c r="D121" s="15"/>
      <c r="F121" s="11"/>
    </row>
    <row r="122" spans="4:6">
      <c r="D122" s="15"/>
      <c r="F122" s="11"/>
    </row>
    <row r="123" spans="4:6">
      <c r="D123" s="15"/>
      <c r="F123" s="11"/>
    </row>
    <row r="124" spans="4:6">
      <c r="D124" s="15"/>
      <c r="F124" s="11"/>
    </row>
    <row r="125" spans="4:6">
      <c r="D125" s="15"/>
      <c r="F125" s="11"/>
    </row>
    <row r="126" spans="4:6">
      <c r="D126" s="15"/>
      <c r="F126" s="11"/>
    </row>
    <row r="127" spans="4:6">
      <c r="D127" s="15"/>
      <c r="F127" s="11"/>
    </row>
    <row r="128" spans="4:6">
      <c r="D128" s="15"/>
      <c r="F128" s="11"/>
    </row>
    <row r="129" spans="4:6">
      <c r="D129" s="15"/>
      <c r="F129" s="11"/>
    </row>
    <row r="130" spans="4:6">
      <c r="D130" s="15"/>
      <c r="F130" s="11"/>
    </row>
    <row r="131" spans="4:6">
      <c r="D131" s="15"/>
      <c r="F131" s="11"/>
    </row>
    <row r="132" spans="4:6">
      <c r="D132" s="15"/>
      <c r="F132" s="11"/>
    </row>
    <row r="133" spans="4:6">
      <c r="D133" s="15"/>
      <c r="F133" s="11"/>
    </row>
    <row r="134" spans="4:6">
      <c r="D134" s="15"/>
      <c r="F134" s="11"/>
    </row>
    <row r="135" spans="4:6">
      <c r="D135" s="15"/>
      <c r="F135" s="11"/>
    </row>
    <row r="136" spans="4:6">
      <c r="D136" s="15"/>
      <c r="F136" s="11"/>
    </row>
    <row r="137" spans="4:6">
      <c r="D137" s="15"/>
      <c r="F137" s="11"/>
    </row>
    <row r="138" spans="4:6">
      <c r="D138" s="15"/>
      <c r="F138" s="11"/>
    </row>
    <row r="139" spans="4:6">
      <c r="D139" s="15"/>
      <c r="F139" s="11"/>
    </row>
    <row r="140" spans="4:6">
      <c r="D140" s="15"/>
      <c r="F140" s="11"/>
    </row>
    <row r="141" spans="4:6">
      <c r="D141" s="15"/>
      <c r="F141" s="11"/>
    </row>
    <row r="142" spans="4:6">
      <c r="D142" s="15"/>
      <c r="F142" s="11"/>
    </row>
    <row r="143" spans="4:6">
      <c r="D143" s="15"/>
      <c r="F143" s="11"/>
    </row>
    <row r="144" spans="4:6">
      <c r="D144" s="15"/>
      <c r="F144" s="11"/>
    </row>
    <row r="145" spans="4:6">
      <c r="D145" s="15"/>
      <c r="F145" s="11"/>
    </row>
    <row r="146" spans="4:6">
      <c r="D146" s="15"/>
      <c r="F146" s="11"/>
    </row>
    <row r="147" spans="4:6">
      <c r="D147" s="15"/>
      <c r="F147" s="11"/>
    </row>
    <row r="148" spans="4:6">
      <c r="D148" s="15"/>
      <c r="F148" s="11"/>
    </row>
    <row r="149" spans="4:6">
      <c r="D149" s="15"/>
      <c r="F149" s="11"/>
    </row>
    <row r="150" spans="4:6">
      <c r="D150" s="15"/>
      <c r="F150" s="11"/>
    </row>
    <row r="151" spans="4:6">
      <c r="D151" s="15"/>
      <c r="F151" s="11"/>
    </row>
    <row r="152" spans="4:6">
      <c r="D152" s="15"/>
      <c r="F152" s="11"/>
    </row>
    <row r="153" spans="4:6">
      <c r="D153" s="15"/>
      <c r="F153" s="11"/>
    </row>
    <row r="154" spans="4:6">
      <c r="D154" s="15"/>
      <c r="F154" s="11"/>
    </row>
    <row r="155" spans="4:6">
      <c r="D155" s="15"/>
      <c r="F155" s="11"/>
    </row>
    <row r="156" spans="4:6">
      <c r="D156" s="15"/>
      <c r="F156" s="11"/>
    </row>
    <row r="157" spans="4:6">
      <c r="D157" s="15"/>
      <c r="F157" s="11"/>
    </row>
    <row r="158" spans="4:6">
      <c r="D158" s="15"/>
      <c r="F158" s="11"/>
    </row>
    <row r="159" spans="4:6">
      <c r="D159" s="15"/>
      <c r="F159" s="11"/>
    </row>
    <row r="160" spans="4:6">
      <c r="D160" s="15"/>
      <c r="F160" s="11"/>
    </row>
    <row r="161" spans="4:6">
      <c r="D161" s="15"/>
      <c r="F161" s="11"/>
    </row>
    <row r="162" spans="4:6">
      <c r="D162" s="15"/>
      <c r="F162" s="11"/>
    </row>
    <row r="163" spans="4:6">
      <c r="D163" s="15"/>
      <c r="F163" s="11"/>
    </row>
    <row r="164" spans="4:6">
      <c r="D164" s="15"/>
      <c r="F164" s="11"/>
    </row>
    <row r="165" spans="4:6">
      <c r="D165" s="15"/>
      <c r="F165" s="11"/>
    </row>
    <row r="166" spans="4:6">
      <c r="D166" s="15"/>
      <c r="F166" s="11"/>
    </row>
    <row r="167" spans="4:6">
      <c r="D167" s="15"/>
      <c r="F167" s="11"/>
    </row>
    <row r="168" spans="4:6">
      <c r="D168" s="15"/>
      <c r="F168" s="11"/>
    </row>
    <row r="169" spans="4:6">
      <c r="D169" s="15"/>
      <c r="F169" s="11"/>
    </row>
    <row r="170" spans="4:6">
      <c r="D170" s="15"/>
      <c r="F170" s="11"/>
    </row>
    <row r="171" spans="4:6">
      <c r="D171" s="15"/>
      <c r="F171" s="11"/>
    </row>
    <row r="172" spans="4:6">
      <c r="D172" s="15"/>
      <c r="F172" s="11"/>
    </row>
    <row r="173" spans="4:6">
      <c r="D173" s="15"/>
      <c r="F173" s="11"/>
    </row>
    <row r="174" spans="4:6">
      <c r="D174" s="15"/>
      <c r="F174" s="11"/>
    </row>
    <row r="175" spans="4:6">
      <c r="D175" s="15"/>
      <c r="F175" s="11"/>
    </row>
    <row r="176" spans="4:6">
      <c r="D176" s="15"/>
      <c r="F176" s="11"/>
    </row>
    <row r="177" spans="4:6">
      <c r="D177" s="15"/>
      <c r="F177" s="11"/>
    </row>
    <row r="178" spans="4:6">
      <c r="D178" s="15"/>
      <c r="F178" s="11"/>
    </row>
    <row r="179" spans="4:6">
      <c r="D179" s="15"/>
      <c r="F179" s="11"/>
    </row>
    <row r="180" spans="4:6">
      <c r="D180" s="15"/>
      <c r="F180" s="11"/>
    </row>
    <row r="181" spans="4:6">
      <c r="D181" s="15"/>
      <c r="F181" s="11"/>
    </row>
    <row r="182" spans="4:6">
      <c r="D182" s="15"/>
      <c r="F182" s="11"/>
    </row>
    <row r="183" spans="4:6">
      <c r="D183" s="15"/>
      <c r="F183" s="11"/>
    </row>
    <row r="184" spans="4:6">
      <c r="D184" s="15"/>
      <c r="F184" s="11"/>
    </row>
    <row r="185" spans="4:6">
      <c r="D185" s="15"/>
      <c r="F185" s="11"/>
    </row>
    <row r="186" spans="4:6">
      <c r="D186" s="15"/>
      <c r="F186" s="11"/>
    </row>
    <row r="187" spans="4:6">
      <c r="D187" s="15"/>
      <c r="F187" s="11"/>
    </row>
    <row r="188" spans="4:6">
      <c r="D188" s="15"/>
      <c r="F188" s="11"/>
    </row>
    <row r="189" spans="4:6">
      <c r="D189" s="15"/>
      <c r="F189" s="11"/>
    </row>
    <row r="190" spans="4:6">
      <c r="D190" s="15"/>
      <c r="F190" s="11"/>
    </row>
    <row r="191" spans="4:6">
      <c r="D191" s="15"/>
      <c r="F191" s="11"/>
    </row>
    <row r="192" spans="4:6">
      <c r="D192" s="15"/>
      <c r="F192" s="11"/>
    </row>
    <row r="193" spans="4:6">
      <c r="D193" s="15"/>
      <c r="F193" s="11"/>
    </row>
    <row r="194" spans="4:6">
      <c r="D194" s="15"/>
      <c r="F194" s="11"/>
    </row>
    <row r="195" spans="4:6">
      <c r="D195" s="15"/>
      <c r="F195" s="11"/>
    </row>
    <row r="196" spans="4:6">
      <c r="D196" s="15"/>
      <c r="F196" s="11"/>
    </row>
    <row r="197" spans="4:6">
      <c r="D197" s="15"/>
      <c r="F197" s="11"/>
    </row>
    <row r="198" spans="4:6">
      <c r="D198" s="15"/>
      <c r="F198" s="11"/>
    </row>
    <row r="199" spans="4:6">
      <c r="D199" s="15"/>
      <c r="F199" s="11"/>
    </row>
    <row r="200" spans="4:6">
      <c r="D200" s="15"/>
      <c r="F200" s="11"/>
    </row>
    <row r="201" spans="4:6">
      <c r="D201" s="15"/>
      <c r="F201" s="11"/>
    </row>
    <row r="202" spans="4:6">
      <c r="D202" s="15"/>
      <c r="F202" s="11"/>
    </row>
    <row r="203" spans="4:6">
      <c r="D203" s="15"/>
      <c r="F203" s="11"/>
    </row>
    <row r="204" spans="4:6">
      <c r="D204" s="15"/>
      <c r="F204" s="11"/>
    </row>
    <row r="205" spans="4:6">
      <c r="D205" s="15"/>
      <c r="F205" s="11"/>
    </row>
    <row r="206" spans="4:6">
      <c r="D206" s="15"/>
      <c r="F206" s="11"/>
    </row>
    <row r="207" spans="4:6">
      <c r="D207" s="15"/>
      <c r="F207" s="11"/>
    </row>
    <row r="208" spans="4:6">
      <c r="D208" s="15"/>
      <c r="F208" s="11"/>
    </row>
    <row r="209" spans="4:6">
      <c r="D209" s="15"/>
      <c r="F209" s="11"/>
    </row>
    <row r="210" spans="4:6">
      <c r="D210" s="15"/>
      <c r="F210" s="11"/>
    </row>
    <row r="211" spans="4:6">
      <c r="D211" s="15"/>
      <c r="F211" s="11"/>
    </row>
    <row r="212" spans="4:6">
      <c r="D212" s="15"/>
      <c r="F212" s="11"/>
    </row>
    <row r="213" spans="4:6">
      <c r="D213" s="15"/>
      <c r="F213" s="11"/>
    </row>
    <row r="214" spans="4:6">
      <c r="D214" s="15"/>
      <c r="F214" s="11"/>
    </row>
    <row r="215" spans="4:6">
      <c r="D215" s="15"/>
      <c r="F215" s="11"/>
    </row>
    <row r="216" spans="4:6">
      <c r="D216" s="15"/>
      <c r="F216" s="11"/>
    </row>
    <row r="217" spans="4:6">
      <c r="D217" s="15"/>
      <c r="F217" s="11"/>
    </row>
    <row r="218" spans="4:6">
      <c r="D218" s="15"/>
      <c r="F218" s="11"/>
    </row>
    <row r="219" spans="4:6">
      <c r="D219" s="15"/>
      <c r="F219" s="11"/>
    </row>
    <row r="220" spans="4:6">
      <c r="D220" s="15"/>
      <c r="F220" s="11"/>
    </row>
    <row r="221" spans="4:6">
      <c r="D221" s="15"/>
      <c r="F221" s="11"/>
    </row>
    <row r="222" spans="4:6">
      <c r="D222" s="15"/>
      <c r="F222" s="11"/>
    </row>
    <row r="223" spans="4:6">
      <c r="D223" s="15"/>
      <c r="F223" s="11"/>
    </row>
    <row r="224" spans="4:6">
      <c r="D224" s="15"/>
      <c r="F224" s="11"/>
    </row>
    <row r="225" spans="4:6">
      <c r="D225" s="15"/>
      <c r="F225" s="11"/>
    </row>
    <row r="226" spans="4:6">
      <c r="D226" s="15"/>
      <c r="F226" s="11"/>
    </row>
    <row r="227" spans="4:6">
      <c r="D227" s="15"/>
      <c r="F227" s="11"/>
    </row>
    <row r="228" spans="4:6">
      <c r="D228" s="15"/>
      <c r="F228" s="11"/>
    </row>
    <row r="229" spans="4:6">
      <c r="D229" s="15"/>
      <c r="F229" s="11"/>
    </row>
    <row r="230" spans="4:6">
      <c r="D230" s="15"/>
      <c r="F230" s="11"/>
    </row>
    <row r="231" spans="4:6">
      <c r="D231" s="15"/>
      <c r="F231" s="11"/>
    </row>
    <row r="232" spans="4:6">
      <c r="D232" s="15"/>
      <c r="F232" s="11"/>
    </row>
    <row r="233" spans="4:6">
      <c r="D233" s="15"/>
      <c r="F233" s="11"/>
    </row>
    <row r="234" spans="4:6">
      <c r="D234" s="15"/>
      <c r="F234" s="11"/>
    </row>
    <row r="235" spans="4:6">
      <c r="D235" s="15"/>
      <c r="F235" s="11"/>
    </row>
    <row r="236" spans="4:6">
      <c r="D236" s="15"/>
      <c r="F236" s="11"/>
    </row>
    <row r="237" spans="4:6">
      <c r="D237" s="15"/>
      <c r="F237" s="11"/>
    </row>
    <row r="238" spans="4:6">
      <c r="D238" s="15"/>
      <c r="F238" s="11"/>
    </row>
    <row r="239" spans="4:6">
      <c r="D239" s="15"/>
      <c r="F239" s="11"/>
    </row>
    <row r="240" spans="4:6">
      <c r="D240" s="15"/>
      <c r="F240" s="11"/>
    </row>
    <row r="241" spans="4:6">
      <c r="D241" s="15"/>
      <c r="F241" s="11"/>
    </row>
    <row r="242" spans="4:6">
      <c r="D242" s="15"/>
      <c r="F242" s="11"/>
    </row>
    <row r="243" spans="4:6">
      <c r="D243" s="15"/>
      <c r="F243" s="11"/>
    </row>
    <row r="244" spans="4:6">
      <c r="D244" s="15"/>
      <c r="F244" s="11"/>
    </row>
    <row r="245" spans="4:6">
      <c r="D245" s="15"/>
      <c r="F245" s="11"/>
    </row>
    <row r="246" spans="4:6">
      <c r="D246" s="15"/>
      <c r="F246" s="11"/>
    </row>
    <row r="247" spans="4:6">
      <c r="D247" s="15"/>
      <c r="F247" s="11"/>
    </row>
    <row r="248" spans="4:6">
      <c r="D248" s="15"/>
      <c r="F248" s="11"/>
    </row>
    <row r="249" spans="4:6">
      <c r="D249" s="15"/>
      <c r="F249" s="11"/>
    </row>
    <row r="250" spans="4:6">
      <c r="D250" s="15"/>
      <c r="F250" s="11"/>
    </row>
    <row r="251" spans="4:6">
      <c r="D251" s="15"/>
      <c r="F251" s="11"/>
    </row>
    <row r="252" spans="4:6">
      <c r="D252" s="15"/>
      <c r="F252" s="11"/>
    </row>
    <row r="253" spans="4:6">
      <c r="D253" s="15"/>
      <c r="F253" s="11"/>
    </row>
    <row r="254" spans="4:6">
      <c r="D254" s="15"/>
      <c r="F254" s="11"/>
    </row>
    <row r="255" spans="4:6">
      <c r="D255" s="15"/>
      <c r="F255" s="11"/>
    </row>
    <row r="256" spans="4:6">
      <c r="D256" s="15"/>
      <c r="F256" s="11"/>
    </row>
    <row r="257" spans="4:6">
      <c r="D257" s="15"/>
      <c r="F257" s="11"/>
    </row>
    <row r="258" spans="4:6">
      <c r="D258" s="15"/>
      <c r="F258" s="11"/>
    </row>
    <row r="259" spans="4:6">
      <c r="D259" s="15"/>
      <c r="F259" s="11"/>
    </row>
    <row r="260" spans="4:6">
      <c r="D260" s="15"/>
      <c r="F260" s="11"/>
    </row>
    <row r="261" spans="4:6">
      <c r="D261" s="15"/>
      <c r="F261" s="11"/>
    </row>
    <row r="262" spans="4:6">
      <c r="D262" s="15"/>
      <c r="F262" s="11"/>
    </row>
    <row r="263" spans="4:6">
      <c r="D263" s="15"/>
      <c r="F263" s="11"/>
    </row>
    <row r="264" spans="4:6">
      <c r="D264" s="15"/>
      <c r="F264" s="11"/>
    </row>
    <row r="265" spans="4:6">
      <c r="D265" s="15"/>
      <c r="F265" s="11"/>
    </row>
    <row r="266" spans="4:6">
      <c r="D266" s="15"/>
      <c r="F266" s="11"/>
    </row>
    <row r="267" spans="4:6">
      <c r="D267" s="15"/>
      <c r="F267" s="11"/>
    </row>
    <row r="268" spans="4:6">
      <c r="D268" s="15"/>
      <c r="F268" s="11"/>
    </row>
    <row r="269" spans="4:6">
      <c r="D269" s="15"/>
      <c r="F269" s="11"/>
    </row>
    <row r="270" spans="4:6">
      <c r="D270" s="15"/>
      <c r="F270" s="11"/>
    </row>
    <row r="271" spans="4:6">
      <c r="D271" s="15"/>
      <c r="F271" s="11"/>
    </row>
    <row r="272" spans="4:6">
      <c r="D272" s="15"/>
      <c r="F272" s="11"/>
    </row>
    <row r="273" spans="4:6">
      <c r="D273" s="15"/>
      <c r="F273" s="11"/>
    </row>
    <row r="274" spans="4:6">
      <c r="D274" s="15"/>
      <c r="F274" s="11"/>
    </row>
    <row r="275" spans="4:6">
      <c r="D275" s="15"/>
      <c r="F275" s="11"/>
    </row>
    <row r="276" spans="4:6">
      <c r="D276" s="15"/>
      <c r="F276" s="11"/>
    </row>
    <row r="277" spans="4:6">
      <c r="D277" s="15"/>
      <c r="F277" s="11"/>
    </row>
    <row r="278" spans="4:6">
      <c r="D278" s="15"/>
      <c r="F278" s="11"/>
    </row>
    <row r="279" spans="4:6">
      <c r="D279" s="15"/>
      <c r="F279" s="11"/>
    </row>
    <row r="280" spans="4:6">
      <c r="D280" s="15"/>
      <c r="F280" s="11"/>
    </row>
    <row r="281" spans="4:6">
      <c r="D281" s="15"/>
      <c r="F281" s="11"/>
    </row>
    <row r="282" spans="4:6">
      <c r="D282" s="15"/>
      <c r="F282" s="11"/>
    </row>
    <row r="283" spans="4:6">
      <c r="D283" s="15"/>
      <c r="F283" s="11"/>
    </row>
    <row r="284" spans="4:6">
      <c r="D284" s="15"/>
      <c r="F284" s="11"/>
    </row>
    <row r="285" spans="4:6">
      <c r="D285" s="15"/>
      <c r="F285" s="11"/>
    </row>
    <row r="286" spans="4:6">
      <c r="D286" s="15"/>
      <c r="F286" s="11"/>
    </row>
    <row r="287" spans="4:6">
      <c r="D287" s="15"/>
      <c r="F287" s="11"/>
    </row>
    <row r="288" spans="4:6">
      <c r="D288" s="15"/>
      <c r="F288" s="11"/>
    </row>
    <row r="289" spans="4:6">
      <c r="D289" s="15"/>
      <c r="F289" s="11"/>
    </row>
    <row r="290" spans="4:6">
      <c r="D290" s="15"/>
      <c r="F290" s="11"/>
    </row>
    <row r="291" spans="4:6">
      <c r="D291" s="15"/>
      <c r="F291" s="11"/>
    </row>
    <row r="292" spans="4:6">
      <c r="D292" s="15"/>
      <c r="F292" s="11"/>
    </row>
    <row r="293" spans="4:6">
      <c r="D293" s="15"/>
      <c r="F293" s="11"/>
    </row>
    <row r="294" spans="4:6">
      <c r="D294" s="15"/>
      <c r="F294" s="11"/>
    </row>
    <row r="295" spans="4:6">
      <c r="D295" s="15"/>
      <c r="F295" s="11"/>
    </row>
    <row r="296" spans="4:6">
      <c r="D296" s="15"/>
      <c r="F296" s="11"/>
    </row>
    <row r="297" spans="4:6">
      <c r="D297" s="15"/>
      <c r="F297" s="11"/>
    </row>
    <row r="298" spans="4:6">
      <c r="D298" s="15"/>
      <c r="F298" s="11"/>
    </row>
    <row r="299" spans="4:6">
      <c r="D299" s="15"/>
      <c r="F299" s="11"/>
    </row>
    <row r="300" spans="4:6">
      <c r="D300" s="15"/>
      <c r="F300" s="11"/>
    </row>
    <row r="301" spans="4:6">
      <c r="D301" s="15"/>
      <c r="F301" s="11"/>
    </row>
    <row r="302" spans="4:6">
      <c r="D302" s="15"/>
      <c r="F302" s="11"/>
    </row>
    <row r="303" spans="4:6">
      <c r="D303" s="15"/>
      <c r="F303" s="11"/>
    </row>
    <row r="304" spans="4:6">
      <c r="D304" s="15"/>
      <c r="F304" s="11"/>
    </row>
    <row r="305" spans="4:6">
      <c r="D305" s="15"/>
      <c r="F305" s="11"/>
    </row>
    <row r="306" spans="4:6">
      <c r="D306" s="15"/>
      <c r="F306" s="11"/>
    </row>
    <row r="307" spans="4:6">
      <c r="D307" s="15"/>
      <c r="F307" s="11"/>
    </row>
    <row r="308" spans="4:6">
      <c r="D308" s="15"/>
      <c r="F308" s="11"/>
    </row>
    <row r="309" spans="4:6">
      <c r="D309" s="15"/>
      <c r="F309" s="11"/>
    </row>
    <row r="310" spans="4:6">
      <c r="D310" s="15"/>
      <c r="F310" s="11"/>
    </row>
    <row r="311" spans="4:6">
      <c r="D311" s="15"/>
      <c r="F311" s="11"/>
    </row>
    <row r="312" spans="4:6">
      <c r="D312" s="15"/>
      <c r="F312" s="11"/>
    </row>
    <row r="313" spans="4:6">
      <c r="D313" s="15"/>
      <c r="F313" s="11"/>
    </row>
    <row r="314" spans="4:6">
      <c r="D314" s="15"/>
      <c r="F314" s="11"/>
    </row>
    <row r="315" spans="4:6">
      <c r="D315" s="15"/>
      <c r="F315" s="11"/>
    </row>
    <row r="316" spans="4:6">
      <c r="D316" s="15"/>
      <c r="F316" s="11"/>
    </row>
    <row r="317" spans="4:6">
      <c r="D317" s="15"/>
      <c r="F317" s="11"/>
    </row>
    <row r="318" spans="4:6">
      <c r="D318" s="15"/>
      <c r="F318" s="11"/>
    </row>
    <row r="319" spans="4:6">
      <c r="D319" s="15"/>
      <c r="F319" s="11"/>
    </row>
    <row r="320" spans="4:6">
      <c r="D320" s="15"/>
      <c r="F320" s="11"/>
    </row>
    <row r="321" spans="4:6">
      <c r="D321" s="15"/>
      <c r="F321" s="11"/>
    </row>
    <row r="322" spans="4:6">
      <c r="D322" s="15"/>
      <c r="F322" s="11"/>
    </row>
    <row r="323" spans="4:6">
      <c r="D323" s="15"/>
      <c r="F323" s="11"/>
    </row>
    <row r="324" spans="4:6">
      <c r="D324" s="15"/>
      <c r="F324" s="11"/>
    </row>
    <row r="325" spans="4:6">
      <c r="D325" s="15"/>
      <c r="F325" s="11"/>
    </row>
    <row r="326" spans="4:6">
      <c r="D326" s="15"/>
      <c r="F326" s="11"/>
    </row>
    <row r="327" spans="4:6">
      <c r="D327" s="15"/>
      <c r="F327" s="11"/>
    </row>
    <row r="328" spans="4:6">
      <c r="D328" s="15"/>
      <c r="F328" s="11"/>
    </row>
    <row r="329" spans="4:6">
      <c r="D329" s="15"/>
      <c r="F329" s="11"/>
    </row>
    <row r="330" spans="4:6">
      <c r="D330" s="15"/>
      <c r="F330" s="11"/>
    </row>
    <row r="331" spans="4:6">
      <c r="D331" s="15"/>
      <c r="F331" s="11"/>
    </row>
    <row r="332" spans="4:6">
      <c r="D332" s="15"/>
      <c r="F332" s="11"/>
    </row>
    <row r="333" spans="4:6">
      <c r="D333" s="15"/>
      <c r="F333" s="11"/>
    </row>
    <row r="334" spans="4:6">
      <c r="D334" s="15"/>
      <c r="F334" s="11"/>
    </row>
    <row r="335" spans="4:6">
      <c r="D335" s="15"/>
      <c r="F335" s="11"/>
    </row>
    <row r="336" spans="4:6">
      <c r="D336" s="15"/>
      <c r="F336" s="11"/>
    </row>
    <row r="337" spans="4:6">
      <c r="D337" s="15"/>
      <c r="F337" s="11"/>
    </row>
    <row r="338" spans="4:6">
      <c r="D338" s="15"/>
      <c r="F338" s="11"/>
    </row>
    <row r="339" spans="4:6">
      <c r="D339" s="15"/>
      <c r="F339" s="11"/>
    </row>
    <row r="340" spans="4:6">
      <c r="D340" s="15"/>
      <c r="F340" s="11"/>
    </row>
    <row r="341" spans="4:6">
      <c r="D341" s="15"/>
      <c r="F341" s="11"/>
    </row>
    <row r="342" spans="4:6">
      <c r="D342" s="15"/>
      <c r="F342" s="11"/>
    </row>
    <row r="343" spans="4:6">
      <c r="D343" s="15"/>
      <c r="F343" s="11"/>
    </row>
    <row r="344" spans="4:6">
      <c r="D344" s="15"/>
      <c r="F344" s="11"/>
    </row>
    <row r="345" spans="4:6">
      <c r="D345" s="15"/>
      <c r="F345" s="11"/>
    </row>
    <row r="346" spans="4:6">
      <c r="D346" s="15"/>
      <c r="F346" s="11"/>
    </row>
    <row r="347" spans="4:6">
      <c r="D347" s="15"/>
      <c r="F347" s="11"/>
    </row>
    <row r="348" spans="4:6">
      <c r="D348" s="15"/>
      <c r="F348" s="11"/>
    </row>
    <row r="349" spans="4:6">
      <c r="D349" s="15"/>
      <c r="F349" s="11"/>
    </row>
    <row r="350" spans="4:6">
      <c r="D350" s="15"/>
      <c r="F350" s="11"/>
    </row>
    <row r="351" spans="4:6">
      <c r="D351" s="15"/>
      <c r="F351" s="11"/>
    </row>
    <row r="352" spans="4:6">
      <c r="D352" s="15"/>
      <c r="F352" s="11"/>
    </row>
    <row r="353" spans="4:6">
      <c r="D353" s="15"/>
      <c r="F353" s="11"/>
    </row>
    <row r="354" spans="4:6">
      <c r="D354" s="15"/>
      <c r="F354" s="11"/>
    </row>
    <row r="355" spans="4:6">
      <c r="D355" s="15"/>
      <c r="F355" s="11"/>
    </row>
    <row r="356" spans="4:6">
      <c r="D356" s="15"/>
      <c r="F356" s="11"/>
    </row>
    <row r="357" spans="4:6">
      <c r="D357" s="15"/>
      <c r="F357" s="11"/>
    </row>
    <row r="358" spans="4:6">
      <c r="D358" s="15"/>
      <c r="F358" s="11"/>
    </row>
    <row r="359" spans="4:6">
      <c r="D359" s="15"/>
      <c r="F359" s="11"/>
    </row>
    <row r="360" spans="4:6">
      <c r="D360" s="15"/>
      <c r="F360" s="11"/>
    </row>
    <row r="361" spans="4:6">
      <c r="D361" s="15"/>
      <c r="F361" s="11"/>
    </row>
    <row r="362" spans="4:6">
      <c r="D362" s="15"/>
      <c r="F362" s="11"/>
    </row>
    <row r="363" spans="4:6">
      <c r="D363" s="15"/>
      <c r="F363" s="11"/>
    </row>
    <row r="364" spans="4:6">
      <c r="D364" s="15"/>
      <c r="F364" s="11"/>
    </row>
    <row r="365" spans="4:6">
      <c r="D365" s="15"/>
      <c r="F365" s="11"/>
    </row>
    <row r="366" spans="4:6">
      <c r="D366" s="15"/>
      <c r="F366" s="11"/>
    </row>
    <row r="367" spans="4:6">
      <c r="D367" s="15"/>
      <c r="F367" s="11"/>
    </row>
    <row r="368" spans="4:6">
      <c r="D368" s="15"/>
      <c r="F368" s="11"/>
    </row>
    <row r="369" spans="4:6">
      <c r="D369" s="15"/>
      <c r="F369" s="11"/>
    </row>
    <row r="370" spans="4:6">
      <c r="D370" s="15"/>
      <c r="F370" s="11"/>
    </row>
    <row r="371" spans="4:6">
      <c r="D371" s="15"/>
      <c r="F371" s="11"/>
    </row>
    <row r="372" spans="4:6">
      <c r="D372" s="15"/>
      <c r="F372" s="11"/>
    </row>
    <row r="373" spans="4:6">
      <c r="D373" s="15"/>
      <c r="F373" s="11"/>
    </row>
    <row r="374" spans="4:6">
      <c r="D374" s="15"/>
      <c r="F374" s="11"/>
    </row>
    <row r="375" spans="4:6">
      <c r="D375" s="15"/>
      <c r="F375" s="11"/>
    </row>
    <row r="376" spans="4:6">
      <c r="D376" s="15"/>
      <c r="F376" s="11"/>
    </row>
    <row r="377" spans="4:6">
      <c r="D377" s="15"/>
      <c r="F377" s="11"/>
    </row>
    <row r="378" spans="4:6">
      <c r="D378" s="15"/>
      <c r="F378" s="11"/>
    </row>
    <row r="379" spans="4:6">
      <c r="D379" s="15"/>
      <c r="F379" s="11"/>
    </row>
    <row r="380" spans="4:6">
      <c r="D380" s="15"/>
      <c r="F380" s="11"/>
    </row>
    <row r="381" spans="4:6">
      <c r="D381" s="15"/>
      <c r="F381" s="11"/>
    </row>
    <row r="382" spans="4:6">
      <c r="D382" s="15"/>
      <c r="F382" s="11"/>
    </row>
    <row r="383" spans="4:6">
      <c r="D383" s="15"/>
      <c r="F383" s="11"/>
    </row>
    <row r="384" spans="4:6">
      <c r="D384" s="15"/>
      <c r="F384" s="11"/>
    </row>
    <row r="385" spans="4:6">
      <c r="D385" s="15"/>
      <c r="F385" s="11"/>
    </row>
    <row r="386" spans="4:6">
      <c r="D386" s="15"/>
      <c r="F386" s="11"/>
    </row>
    <row r="387" spans="4:6">
      <c r="D387" s="15"/>
      <c r="F387" s="11"/>
    </row>
    <row r="388" spans="4:6">
      <c r="D388" s="15"/>
      <c r="F388" s="11"/>
    </row>
    <row r="389" spans="4:6">
      <c r="D389" s="15"/>
      <c r="F389" s="11"/>
    </row>
    <row r="390" spans="4:6">
      <c r="D390" s="15"/>
      <c r="F390" s="11"/>
    </row>
    <row r="391" spans="4:6">
      <c r="D391" s="15"/>
      <c r="F391" s="11"/>
    </row>
    <row r="392" spans="4:6">
      <c r="D392" s="15"/>
      <c r="F392" s="11"/>
    </row>
    <row r="393" spans="4:6">
      <c r="D393" s="15"/>
      <c r="F393" s="11"/>
    </row>
    <row r="394" spans="4:6">
      <c r="D394" s="15"/>
      <c r="F394" s="11"/>
    </row>
    <row r="395" spans="4:6">
      <c r="D395" s="15"/>
      <c r="F395" s="11"/>
    </row>
    <row r="396" spans="4:6">
      <c r="D396" s="15"/>
      <c r="F396" s="11"/>
    </row>
    <row r="397" spans="4:6">
      <c r="D397" s="15"/>
      <c r="F397" s="11"/>
    </row>
    <row r="398" spans="4:6">
      <c r="D398" s="15"/>
      <c r="F398" s="11"/>
    </row>
    <row r="399" spans="4:6">
      <c r="D399" s="15"/>
      <c r="F399" s="11"/>
    </row>
    <row r="400" spans="4:6">
      <c r="D400" s="15"/>
      <c r="F400" s="11"/>
    </row>
    <row r="401" spans="4:6">
      <c r="D401" s="15"/>
      <c r="F401" s="11"/>
    </row>
    <row r="402" spans="4:6">
      <c r="D402" s="15"/>
      <c r="F402" s="11"/>
    </row>
    <row r="403" spans="4:6">
      <c r="D403" s="15"/>
      <c r="F403" s="11"/>
    </row>
    <row r="404" spans="4:6">
      <c r="D404" s="15"/>
      <c r="F404" s="11"/>
    </row>
    <row r="405" spans="4:6">
      <c r="D405" s="15"/>
      <c r="F405" s="11"/>
    </row>
    <row r="406" spans="4:6">
      <c r="D406" s="15"/>
      <c r="F406" s="11"/>
    </row>
    <row r="407" spans="4:6">
      <c r="D407" s="15"/>
      <c r="F407" s="11"/>
    </row>
    <row r="408" spans="4:6">
      <c r="D408" s="15"/>
      <c r="F408" s="11"/>
    </row>
    <row r="409" spans="4:6">
      <c r="D409" s="15"/>
      <c r="F409" s="11"/>
    </row>
    <row r="410" spans="4:6">
      <c r="D410" s="15"/>
      <c r="F410" s="11"/>
    </row>
    <row r="411" spans="4:6">
      <c r="D411" s="15"/>
      <c r="F411" s="11"/>
    </row>
    <row r="412" spans="4:6">
      <c r="D412" s="15"/>
      <c r="F412" s="11"/>
    </row>
    <row r="413" spans="4:6">
      <c r="D413" s="15"/>
      <c r="F413" s="11"/>
    </row>
    <row r="414" spans="4:6">
      <c r="D414" s="15"/>
      <c r="F414" s="11"/>
    </row>
    <row r="415" spans="4:6">
      <c r="D415" s="15"/>
      <c r="F415" s="11"/>
    </row>
    <row r="416" spans="4:6">
      <c r="D416" s="15"/>
      <c r="F416" s="11"/>
    </row>
    <row r="417" spans="4:6">
      <c r="D417" s="15"/>
      <c r="F417" s="11"/>
    </row>
    <row r="418" spans="4:6">
      <c r="D418" s="15"/>
      <c r="F418" s="11"/>
    </row>
    <row r="419" spans="4:6">
      <c r="D419" s="15"/>
      <c r="F419" s="11"/>
    </row>
    <row r="420" spans="4:6">
      <c r="D420" s="15"/>
      <c r="F420" s="11"/>
    </row>
    <row r="421" spans="4:6">
      <c r="D421" s="15"/>
      <c r="F421" s="11"/>
    </row>
    <row r="422" spans="4:6">
      <c r="D422" s="15"/>
      <c r="F422" s="11"/>
    </row>
    <row r="423" spans="4:6">
      <c r="D423" s="15"/>
      <c r="F423" s="11"/>
    </row>
    <row r="424" spans="4:6">
      <c r="D424" s="15"/>
      <c r="F424" s="11"/>
    </row>
    <row r="425" spans="4:6">
      <c r="D425" s="15"/>
      <c r="F425" s="11"/>
    </row>
    <row r="426" spans="4:6">
      <c r="D426" s="15"/>
      <c r="F426" s="11"/>
    </row>
    <row r="427" spans="4:6">
      <c r="D427" s="15"/>
      <c r="F427" s="11"/>
    </row>
    <row r="428" spans="4:6">
      <c r="D428" s="15"/>
      <c r="F428" s="11"/>
    </row>
    <row r="429" spans="4:6">
      <c r="D429" s="15"/>
      <c r="F429" s="11"/>
    </row>
    <row r="430" spans="4:6">
      <c r="D430" s="15"/>
      <c r="F430" s="11"/>
    </row>
    <row r="431" spans="4:6">
      <c r="D431" s="15"/>
      <c r="F431" s="11"/>
    </row>
    <row r="432" spans="4:6">
      <c r="D432" s="15"/>
      <c r="F432" s="11"/>
    </row>
    <row r="433" spans="4:6">
      <c r="D433" s="15"/>
      <c r="F433" s="11"/>
    </row>
    <row r="434" spans="4:6">
      <c r="D434" s="15"/>
      <c r="F434" s="11"/>
    </row>
    <row r="435" spans="4:6">
      <c r="D435" s="15"/>
      <c r="F435" s="11"/>
    </row>
    <row r="436" spans="4:6">
      <c r="D436" s="15"/>
      <c r="F436" s="11"/>
    </row>
    <row r="437" spans="4:6">
      <c r="D437" s="15"/>
      <c r="F437" s="11"/>
    </row>
    <row r="438" spans="4:6">
      <c r="D438" s="15"/>
      <c r="F438" s="11"/>
    </row>
    <row r="439" spans="4:6">
      <c r="D439" s="15"/>
      <c r="F439" s="11"/>
    </row>
    <row r="440" spans="4:6">
      <c r="D440" s="15"/>
      <c r="F440" s="11"/>
    </row>
    <row r="441" spans="4:6">
      <c r="D441" s="15"/>
      <c r="F441" s="11"/>
    </row>
    <row r="442" spans="4:6">
      <c r="D442" s="15"/>
      <c r="F442" s="11"/>
    </row>
    <row r="443" spans="4:6">
      <c r="D443" s="15"/>
      <c r="F443" s="11"/>
    </row>
    <row r="444" spans="4:6">
      <c r="D444" s="15"/>
      <c r="F444" s="11"/>
    </row>
    <row r="445" spans="4:6">
      <c r="D445" s="15"/>
      <c r="F445" s="11"/>
    </row>
    <row r="446" spans="4:6">
      <c r="D446" s="15"/>
      <c r="F446" s="11"/>
    </row>
    <row r="447" spans="4:6">
      <c r="D447" s="15"/>
      <c r="F447" s="11"/>
    </row>
    <row r="448" spans="4:6">
      <c r="D448" s="15"/>
      <c r="F448" s="11"/>
    </row>
    <row r="449" spans="4:6">
      <c r="D449" s="15"/>
      <c r="F449" s="11"/>
    </row>
    <row r="450" spans="4:6">
      <c r="D450" s="15"/>
      <c r="F450" s="11"/>
    </row>
    <row r="451" spans="4:6">
      <c r="D451" s="15"/>
      <c r="F451" s="11"/>
    </row>
    <row r="452" spans="4:6">
      <c r="D452" s="15"/>
      <c r="F452" s="11"/>
    </row>
    <row r="453" spans="4:6">
      <c r="D453" s="15"/>
      <c r="F453" s="11"/>
    </row>
    <row r="454" spans="4:6">
      <c r="D454" s="15"/>
      <c r="F454" s="11"/>
    </row>
    <row r="455" spans="4:6">
      <c r="D455" s="15"/>
      <c r="F455" s="11"/>
    </row>
    <row r="456" spans="4:6">
      <c r="D456" s="15"/>
      <c r="F456" s="11"/>
    </row>
    <row r="457" spans="4:6">
      <c r="D457" s="15"/>
      <c r="F457" s="11"/>
    </row>
    <row r="458" spans="4:6">
      <c r="D458" s="15"/>
      <c r="F458" s="11"/>
    </row>
    <row r="459" spans="4:6">
      <c r="D459" s="15"/>
      <c r="F459" s="11"/>
    </row>
    <row r="460" spans="4:6">
      <c r="D460" s="15"/>
      <c r="F460" s="11"/>
    </row>
    <row r="461" spans="4:6">
      <c r="D461" s="15"/>
      <c r="F461" s="11"/>
    </row>
    <row r="462" spans="4:6">
      <c r="D462" s="15"/>
      <c r="F462" s="11"/>
    </row>
    <row r="463" spans="4:6">
      <c r="D463" s="15"/>
      <c r="F463" s="11"/>
    </row>
    <row r="464" spans="4:6">
      <c r="D464" s="15"/>
      <c r="F464" s="11"/>
    </row>
    <row r="465" spans="4:6">
      <c r="D465" s="15"/>
      <c r="F465" s="11"/>
    </row>
    <row r="466" spans="4:6">
      <c r="D466" s="15"/>
      <c r="F466" s="11"/>
    </row>
    <row r="467" spans="4:6">
      <c r="D467" s="15"/>
      <c r="F467" s="11"/>
    </row>
    <row r="468" spans="4:6">
      <c r="D468" s="15"/>
      <c r="F468" s="11"/>
    </row>
    <row r="469" spans="4:6">
      <c r="D469" s="15"/>
      <c r="F469" s="11"/>
    </row>
    <row r="470" spans="4:6">
      <c r="D470" s="15"/>
      <c r="F470" s="11"/>
    </row>
    <row r="471" spans="4:6">
      <c r="D471" s="15"/>
      <c r="F471" s="11"/>
    </row>
    <row r="472" spans="4:6">
      <c r="D472" s="15"/>
      <c r="F472" s="11"/>
    </row>
    <row r="473" spans="4:6">
      <c r="D473" s="15"/>
      <c r="F473" s="11"/>
    </row>
    <row r="474" spans="4:6">
      <c r="D474" s="15"/>
      <c r="F474" s="11"/>
    </row>
    <row r="475" spans="4:6">
      <c r="D475" s="15"/>
      <c r="F475" s="11"/>
    </row>
    <row r="476" spans="4:6">
      <c r="D476" s="15"/>
      <c r="F476" s="11"/>
    </row>
    <row r="477" spans="4:6">
      <c r="D477" s="15"/>
      <c r="F477" s="11"/>
    </row>
    <row r="478" spans="4:6">
      <c r="D478" s="15"/>
      <c r="F478" s="11"/>
    </row>
    <row r="479" spans="4:6">
      <c r="D479" s="15"/>
      <c r="F479" s="11"/>
    </row>
    <row r="480" spans="4:6">
      <c r="D480" s="15"/>
      <c r="F480" s="11"/>
    </row>
    <row r="481" spans="4:6">
      <c r="D481" s="15"/>
      <c r="F481" s="11"/>
    </row>
    <row r="482" spans="4:6">
      <c r="D482" s="15"/>
      <c r="F482" s="11"/>
    </row>
    <row r="483" spans="4:6">
      <c r="D483" s="15"/>
      <c r="F483" s="11"/>
    </row>
    <row r="484" spans="4:6">
      <c r="D484" s="15"/>
      <c r="F484" s="11"/>
    </row>
    <row r="485" spans="4:6">
      <c r="D485" s="15"/>
      <c r="F485" s="11"/>
    </row>
    <row r="486" spans="4:6">
      <c r="D486" s="15"/>
      <c r="F486" s="11"/>
    </row>
    <row r="487" spans="4:6">
      <c r="D487" s="15"/>
      <c r="F487" s="11"/>
    </row>
    <row r="488" spans="4:6">
      <c r="D488" s="15"/>
      <c r="F488" s="11"/>
    </row>
    <row r="489" spans="4:6">
      <c r="D489" s="15"/>
      <c r="F489" s="11"/>
    </row>
    <row r="490" spans="4:6">
      <c r="D490" s="15"/>
      <c r="F490" s="11"/>
    </row>
    <row r="491" spans="4:6">
      <c r="D491" s="15"/>
      <c r="F491" s="11"/>
    </row>
    <row r="492" spans="4:6">
      <c r="D492" s="15"/>
      <c r="F492" s="11"/>
    </row>
    <row r="493" spans="4:6">
      <c r="D493" s="15"/>
      <c r="F493" s="11"/>
    </row>
    <row r="494" spans="4:6">
      <c r="D494" s="15"/>
      <c r="F494" s="11"/>
    </row>
    <row r="495" spans="4:6">
      <c r="D495" s="15"/>
      <c r="F495" s="11"/>
    </row>
    <row r="496" spans="4:6">
      <c r="D496" s="15"/>
      <c r="F496" s="11"/>
    </row>
    <row r="497" spans="4:6">
      <c r="D497" s="15"/>
      <c r="F497" s="11"/>
    </row>
    <row r="498" spans="4:6">
      <c r="D498" s="15"/>
      <c r="F498" s="11"/>
    </row>
    <row r="499" spans="4:6">
      <c r="D499" s="15"/>
      <c r="F499" s="11"/>
    </row>
    <row r="500" spans="4:6">
      <c r="D500" s="15"/>
      <c r="F500" s="11"/>
    </row>
    <row r="501" spans="4:6">
      <c r="D501" s="15"/>
      <c r="F501" s="11"/>
    </row>
    <row r="502" spans="4:6">
      <c r="D502" s="15"/>
      <c r="F502" s="11"/>
    </row>
    <row r="503" spans="4:6">
      <c r="D503" s="15"/>
      <c r="F503" s="11"/>
    </row>
    <row r="504" spans="4:6">
      <c r="D504" s="15"/>
      <c r="F504" s="11"/>
    </row>
    <row r="505" spans="4:6">
      <c r="D505" s="15"/>
      <c r="F505" s="11"/>
    </row>
    <row r="506" spans="4:6">
      <c r="D506" s="15"/>
      <c r="F506" s="11"/>
    </row>
    <row r="507" spans="4:6">
      <c r="D507" s="15"/>
      <c r="F507" s="11"/>
    </row>
    <row r="508" spans="4:6">
      <c r="D508" s="15"/>
      <c r="F508" s="11"/>
    </row>
    <row r="509" spans="4:6">
      <c r="D509" s="15"/>
      <c r="F509" s="11"/>
    </row>
    <row r="510" spans="4:6">
      <c r="D510" s="15"/>
      <c r="F510" s="11"/>
    </row>
    <row r="511" spans="4:6">
      <c r="D511" s="15"/>
      <c r="F511" s="11"/>
    </row>
    <row r="512" spans="4:6">
      <c r="D512" s="15"/>
      <c r="F512" s="11"/>
    </row>
    <row r="513" spans="4:6">
      <c r="D513" s="15"/>
      <c r="F513" s="11"/>
    </row>
    <row r="514" spans="4:6">
      <c r="D514" s="15"/>
      <c r="F514" s="11"/>
    </row>
    <row r="515" spans="4:6">
      <c r="D515" s="15"/>
      <c r="F515" s="11"/>
    </row>
    <row r="516" spans="4:6">
      <c r="D516" s="15"/>
      <c r="F516" s="11"/>
    </row>
    <row r="517" spans="4:6">
      <c r="D517" s="15"/>
      <c r="F517" s="11"/>
    </row>
    <row r="518" spans="4:6">
      <c r="D518" s="15"/>
      <c r="F518" s="11"/>
    </row>
    <row r="519" spans="4:6">
      <c r="D519" s="15"/>
      <c r="F519" s="11"/>
    </row>
    <row r="520" spans="4:6">
      <c r="D520" s="15"/>
      <c r="F520" s="11"/>
    </row>
    <row r="521" spans="4:6">
      <c r="D521" s="15"/>
      <c r="F521" s="11"/>
    </row>
    <row r="522" spans="4:6">
      <c r="D522" s="15"/>
      <c r="F522" s="11"/>
    </row>
    <row r="523" spans="4:6">
      <c r="D523" s="15"/>
      <c r="F523" s="11"/>
    </row>
    <row r="524" spans="4:6">
      <c r="D524" s="15"/>
      <c r="F524" s="11"/>
    </row>
    <row r="525" spans="4:6">
      <c r="D525" s="15"/>
      <c r="F525" s="11"/>
    </row>
    <row r="526" spans="4:6">
      <c r="D526" s="15"/>
      <c r="F526" s="11"/>
    </row>
    <row r="527" spans="4:6">
      <c r="D527" s="15"/>
      <c r="F527" s="11"/>
    </row>
    <row r="528" spans="4:6">
      <c r="D528" s="15"/>
      <c r="F528" s="11"/>
    </row>
    <row r="529" spans="4:6">
      <c r="D529" s="15"/>
      <c r="F529" s="11"/>
    </row>
    <row r="530" spans="4:6">
      <c r="D530" s="15"/>
      <c r="F530" s="11"/>
    </row>
    <row r="531" spans="4:6">
      <c r="D531" s="15"/>
      <c r="F531" s="11"/>
    </row>
    <row r="532" spans="4:6">
      <c r="D532" s="15"/>
      <c r="F532" s="11"/>
    </row>
    <row r="533" spans="4:6">
      <c r="D533" s="15"/>
      <c r="F533" s="11"/>
    </row>
    <row r="534" spans="4:6">
      <c r="D534" s="15"/>
      <c r="F534" s="11"/>
    </row>
    <row r="535" spans="4:6">
      <c r="D535" s="15"/>
      <c r="F535" s="11"/>
    </row>
    <row r="536" spans="4:6">
      <c r="D536" s="15"/>
      <c r="F536" s="11"/>
    </row>
    <row r="537" spans="4:6">
      <c r="D537" s="15"/>
      <c r="F537" s="11"/>
    </row>
    <row r="538" spans="4:6">
      <c r="D538" s="15"/>
      <c r="F538" s="11"/>
    </row>
    <row r="539" spans="4:6">
      <c r="D539" s="15"/>
      <c r="F539" s="11"/>
    </row>
    <row r="540" spans="4:6">
      <c r="D540" s="15"/>
      <c r="F540" s="11"/>
    </row>
    <row r="541" spans="4:6">
      <c r="D541" s="15"/>
      <c r="F541" s="11"/>
    </row>
    <row r="542" spans="4:6">
      <c r="D542" s="15"/>
      <c r="F542" s="11"/>
    </row>
    <row r="543" spans="4:6">
      <c r="D543" s="15"/>
      <c r="F543" s="11"/>
    </row>
    <row r="544" spans="4:6">
      <c r="D544" s="15"/>
      <c r="F544" s="11"/>
    </row>
    <row r="545" spans="4:6">
      <c r="D545" s="15"/>
      <c r="F545" s="11"/>
    </row>
    <row r="546" spans="4:6">
      <c r="D546" s="15"/>
      <c r="F546" s="11"/>
    </row>
    <row r="547" spans="4:6">
      <c r="D547" s="15"/>
      <c r="F547" s="11"/>
    </row>
    <row r="548" spans="4:6">
      <c r="D548" s="15"/>
      <c r="F548" s="11"/>
    </row>
    <row r="549" spans="4:6">
      <c r="D549" s="15"/>
      <c r="F549" s="11"/>
    </row>
    <row r="550" spans="4:6">
      <c r="D550" s="15"/>
      <c r="F550" s="11"/>
    </row>
    <row r="551" spans="4:6">
      <c r="D551" s="15"/>
      <c r="F551" s="11"/>
    </row>
    <row r="552" spans="4:6">
      <c r="D552" s="15"/>
      <c r="F552" s="11"/>
    </row>
    <row r="553" spans="4:6">
      <c r="D553" s="15"/>
      <c r="F553" s="11"/>
    </row>
    <row r="554" spans="4:6">
      <c r="D554" s="15"/>
      <c r="F554" s="11"/>
    </row>
    <row r="555" spans="4:6">
      <c r="D555" s="15"/>
      <c r="F555" s="11"/>
    </row>
    <row r="556" spans="4:6">
      <c r="D556" s="15"/>
      <c r="F556" s="11"/>
    </row>
    <row r="557" spans="4:6">
      <c r="D557" s="15"/>
      <c r="F557" s="11"/>
    </row>
    <row r="558" spans="4:6">
      <c r="D558" s="15"/>
      <c r="F558" s="11"/>
    </row>
    <row r="559" spans="4:6">
      <c r="D559" s="15"/>
      <c r="F559" s="11"/>
    </row>
    <row r="560" spans="4:6">
      <c r="D560" s="15"/>
      <c r="F560" s="11"/>
    </row>
    <row r="561" spans="4:6">
      <c r="D561" s="15"/>
      <c r="F561" s="11"/>
    </row>
    <row r="562" spans="4:6">
      <c r="D562" s="15"/>
      <c r="F562" s="11"/>
    </row>
    <row r="563" spans="4:6">
      <c r="D563" s="15"/>
      <c r="F563" s="11"/>
    </row>
    <row r="564" spans="4:6">
      <c r="D564" s="15"/>
      <c r="F564" s="11"/>
    </row>
    <row r="565" spans="4:6">
      <c r="D565" s="15"/>
      <c r="F565" s="11"/>
    </row>
    <row r="566" spans="4:6">
      <c r="D566" s="15"/>
      <c r="F566" s="11"/>
    </row>
    <row r="567" spans="4:6">
      <c r="D567" s="15"/>
      <c r="F567" s="11"/>
    </row>
    <row r="568" spans="4:6">
      <c r="D568" s="15"/>
      <c r="F568" s="11"/>
    </row>
    <row r="569" spans="4:6">
      <c r="D569" s="15"/>
      <c r="F569" s="11"/>
    </row>
    <row r="570" spans="4:6">
      <c r="D570" s="15"/>
      <c r="F570" s="11"/>
    </row>
    <row r="571" spans="4:6">
      <c r="D571" s="15"/>
      <c r="F571" s="11"/>
    </row>
    <row r="572" spans="4:6">
      <c r="D572" s="15"/>
      <c r="F572" s="11"/>
    </row>
    <row r="573" spans="4:6">
      <c r="D573" s="15"/>
      <c r="F573" s="11"/>
    </row>
    <row r="574" spans="4:6">
      <c r="D574" s="15"/>
      <c r="F574" s="11"/>
    </row>
    <row r="575" spans="4:6">
      <c r="D575" s="15"/>
      <c r="F575" s="11"/>
    </row>
    <row r="576" spans="4:6">
      <c r="D576" s="15"/>
      <c r="F576" s="11"/>
    </row>
    <row r="577" spans="4:6">
      <c r="D577" s="15"/>
      <c r="F577" s="11"/>
    </row>
    <row r="578" spans="4:6">
      <c r="D578" s="15"/>
      <c r="F578" s="11"/>
    </row>
    <row r="579" spans="4:6">
      <c r="D579" s="15"/>
      <c r="F579" s="11"/>
    </row>
    <row r="580" spans="4:6">
      <c r="D580" s="15"/>
      <c r="F580" s="11"/>
    </row>
    <row r="581" spans="4:6">
      <c r="D581" s="15"/>
      <c r="F581" s="11"/>
    </row>
    <row r="582" spans="4:6">
      <c r="D582" s="15"/>
      <c r="F582" s="11"/>
    </row>
    <row r="583" spans="4:6">
      <c r="D583" s="15"/>
      <c r="F583" s="11"/>
    </row>
    <row r="584" spans="4:6">
      <c r="D584" s="15"/>
      <c r="F584" s="11"/>
    </row>
    <row r="585" spans="4:6">
      <c r="D585" s="15"/>
      <c r="F585" s="11"/>
    </row>
    <row r="586" spans="4:6">
      <c r="D586" s="15"/>
      <c r="F586" s="11"/>
    </row>
    <row r="587" spans="4:6">
      <c r="D587" s="15"/>
      <c r="F587" s="11"/>
    </row>
    <row r="588" spans="4:6">
      <c r="D588" s="15"/>
      <c r="F588" s="11"/>
    </row>
    <row r="589" spans="4:6">
      <c r="D589" s="15"/>
      <c r="F589" s="11"/>
    </row>
    <row r="590" spans="4:6">
      <c r="D590" s="15"/>
      <c r="F590" s="11"/>
    </row>
    <row r="591" spans="4:6">
      <c r="D591" s="15"/>
      <c r="F591" s="11"/>
    </row>
    <row r="592" spans="4:6">
      <c r="D592" s="15"/>
      <c r="F592" s="11"/>
    </row>
    <row r="593" spans="4:6">
      <c r="D593" s="15"/>
      <c r="F593" s="11"/>
    </row>
    <row r="594" spans="4:6">
      <c r="D594" s="15"/>
      <c r="F594" s="11"/>
    </row>
    <row r="595" spans="4:6">
      <c r="D595" s="15"/>
      <c r="F595" s="11"/>
    </row>
    <row r="596" spans="4:6">
      <c r="D596" s="15"/>
      <c r="F596" s="11"/>
    </row>
    <row r="597" spans="4:6">
      <c r="D597" s="15"/>
      <c r="F597" s="11"/>
    </row>
    <row r="598" spans="4:6">
      <c r="D598" s="15"/>
      <c r="F598" s="11"/>
    </row>
    <row r="599" spans="4:6">
      <c r="D599" s="15"/>
      <c r="F599" s="11"/>
    </row>
    <row r="600" spans="4:6">
      <c r="D600" s="15"/>
      <c r="F600" s="11"/>
    </row>
    <row r="601" spans="4:6">
      <c r="D601" s="15"/>
      <c r="F601" s="11"/>
    </row>
    <row r="602" spans="4:6">
      <c r="D602" s="15"/>
      <c r="F602" s="11"/>
    </row>
    <row r="603" spans="4:6">
      <c r="D603" s="15"/>
      <c r="F603" s="11"/>
    </row>
    <row r="604" spans="4:6">
      <c r="D604" s="15"/>
      <c r="F604" s="11"/>
    </row>
    <row r="605" spans="4:6">
      <c r="D605" s="15"/>
      <c r="F605" s="11"/>
    </row>
    <row r="606" spans="4:6">
      <c r="D606" s="15"/>
      <c r="F606" s="11"/>
    </row>
    <row r="607" spans="4:6">
      <c r="D607" s="15"/>
      <c r="F607" s="11"/>
    </row>
    <row r="608" spans="4:6">
      <c r="D608" s="15"/>
      <c r="F608" s="11"/>
    </row>
    <row r="609" spans="4:6">
      <c r="D609" s="15"/>
      <c r="F609" s="11"/>
    </row>
    <row r="610" spans="4:6">
      <c r="D610" s="15"/>
      <c r="F610" s="11"/>
    </row>
    <row r="611" spans="4:6">
      <c r="D611" s="15"/>
      <c r="F611" s="11"/>
    </row>
    <row r="612" spans="4:6">
      <c r="D612" s="15"/>
      <c r="F612" s="11"/>
    </row>
    <row r="613" spans="4:6">
      <c r="D613" s="15"/>
      <c r="F613" s="11"/>
    </row>
    <row r="614" spans="4:6">
      <c r="D614" s="15"/>
      <c r="F614" s="11"/>
    </row>
    <row r="615" spans="4:6">
      <c r="D615" s="15"/>
      <c r="F615" s="11"/>
    </row>
    <row r="616" spans="4:6">
      <c r="D616" s="15"/>
      <c r="F616" s="11"/>
    </row>
    <row r="617" spans="4:6">
      <c r="D617" s="15"/>
      <c r="F617" s="11"/>
    </row>
    <row r="618" spans="4:6">
      <c r="D618" s="15"/>
      <c r="F618" s="11"/>
    </row>
    <row r="619" spans="4:6">
      <c r="D619" s="15"/>
      <c r="F619" s="11"/>
    </row>
    <row r="620" spans="4:6">
      <c r="D620" s="15"/>
      <c r="F620" s="11"/>
    </row>
    <row r="621" spans="4:6">
      <c r="D621" s="15"/>
      <c r="F621" s="11"/>
    </row>
    <row r="622" spans="4:6">
      <c r="D622" s="15"/>
      <c r="F622" s="11"/>
    </row>
    <row r="623" spans="4:6">
      <c r="D623" s="15"/>
      <c r="F623" s="11"/>
    </row>
    <row r="624" spans="4:6">
      <c r="D624" s="15"/>
      <c r="F624" s="11"/>
    </row>
    <row r="625" spans="4:6">
      <c r="D625" s="15"/>
      <c r="F625" s="11"/>
    </row>
    <row r="626" spans="4:6">
      <c r="D626" s="15"/>
      <c r="F626" s="11"/>
    </row>
    <row r="627" spans="4:6">
      <c r="D627" s="15"/>
      <c r="F627" s="11"/>
    </row>
    <row r="628" spans="4:6">
      <c r="D628" s="15"/>
      <c r="F628" s="11"/>
    </row>
    <row r="629" spans="4:6">
      <c r="D629" s="15"/>
      <c r="F629" s="11"/>
    </row>
    <row r="630" spans="4:6">
      <c r="D630" s="15"/>
      <c r="F630" s="11"/>
    </row>
    <row r="631" spans="4:6">
      <c r="D631" s="15"/>
      <c r="F631" s="11"/>
    </row>
    <row r="632" spans="4:6">
      <c r="D632" s="15"/>
      <c r="F632" s="11"/>
    </row>
    <row r="633" spans="4:6">
      <c r="D633" s="15"/>
      <c r="F633" s="11"/>
    </row>
    <row r="634" spans="4:6">
      <c r="D634" s="15"/>
      <c r="F634" s="11"/>
    </row>
    <row r="635" spans="4:6">
      <c r="D635" s="15"/>
      <c r="F635" s="11"/>
    </row>
    <row r="636" spans="4:6">
      <c r="D636" s="15"/>
      <c r="F636" s="11"/>
    </row>
    <row r="637" spans="4:6">
      <c r="D637" s="15"/>
      <c r="F637" s="11"/>
    </row>
    <row r="638" spans="4:6">
      <c r="D638" s="15"/>
      <c r="F638" s="11"/>
    </row>
    <row r="639" spans="4:6">
      <c r="D639" s="15"/>
      <c r="F639" s="11"/>
    </row>
    <row r="640" spans="4:6">
      <c r="D640" s="15"/>
      <c r="F640" s="11"/>
    </row>
    <row r="641" spans="4:6">
      <c r="D641" s="15"/>
      <c r="F641" s="11"/>
    </row>
    <row r="642" spans="4:6">
      <c r="D642" s="15"/>
      <c r="F642" s="11"/>
    </row>
    <row r="643" spans="4:6">
      <c r="D643" s="15"/>
      <c r="F643" s="11"/>
    </row>
    <row r="644" spans="4:6">
      <c r="D644" s="15"/>
      <c r="F644" s="11"/>
    </row>
    <row r="645" spans="4:6">
      <c r="D645" s="15"/>
      <c r="F645" s="11"/>
    </row>
    <row r="646" spans="4:6">
      <c r="D646" s="15"/>
      <c r="F646" s="11"/>
    </row>
    <row r="647" spans="4:6">
      <c r="D647" s="15"/>
      <c r="F647" s="11"/>
    </row>
    <row r="648" spans="4:6">
      <c r="D648" s="15"/>
      <c r="F648" s="11"/>
    </row>
    <row r="649" spans="4:6">
      <c r="D649" s="15"/>
      <c r="F649" s="11"/>
    </row>
    <row r="650" spans="4:6">
      <c r="D650" s="15"/>
      <c r="F650" s="11"/>
    </row>
    <row r="651" spans="4:6">
      <c r="D651" s="15"/>
      <c r="F651" s="11"/>
    </row>
    <row r="652" spans="4:6">
      <c r="D652" s="15"/>
      <c r="F652" s="11"/>
    </row>
    <row r="653" spans="4:6">
      <c r="D653" s="15"/>
      <c r="F653" s="11"/>
    </row>
    <row r="654" spans="4:6">
      <c r="D654" s="15"/>
      <c r="F654" s="11"/>
    </row>
    <row r="655" spans="4:6">
      <c r="D655" s="15"/>
      <c r="F655" s="11"/>
    </row>
    <row r="656" spans="4:6">
      <c r="D656" s="15"/>
      <c r="F656" s="11"/>
    </row>
    <row r="657" spans="4:6">
      <c r="D657" s="15"/>
      <c r="F657" s="11"/>
    </row>
    <row r="658" spans="4:6">
      <c r="D658" s="15"/>
      <c r="F658" s="11"/>
    </row>
    <row r="659" spans="4:6">
      <c r="D659" s="15"/>
      <c r="F659" s="11"/>
    </row>
    <row r="660" spans="4:6">
      <c r="D660" s="15"/>
      <c r="F660" s="11"/>
    </row>
    <row r="661" spans="4:6">
      <c r="D661" s="15"/>
      <c r="F661" s="11"/>
    </row>
    <row r="662" spans="4:6">
      <c r="D662" s="15"/>
      <c r="F662" s="11"/>
    </row>
    <row r="663" spans="4:6">
      <c r="D663" s="15"/>
      <c r="F663" s="11"/>
    </row>
    <row r="664" spans="4:6">
      <c r="D664" s="15"/>
      <c r="F664" s="11"/>
    </row>
    <row r="665" spans="4:6">
      <c r="D665" s="15"/>
      <c r="F665" s="11"/>
    </row>
    <row r="666" spans="4:6">
      <c r="D666" s="15"/>
      <c r="F666" s="11"/>
    </row>
    <row r="667" spans="4:6">
      <c r="D667" s="15"/>
      <c r="F667" s="11"/>
    </row>
    <row r="668" spans="4:6">
      <c r="D668" s="15"/>
      <c r="F668" s="11"/>
    </row>
    <row r="669" spans="4:6">
      <c r="D669" s="15"/>
      <c r="F669" s="11"/>
    </row>
    <row r="670" spans="4:6">
      <c r="D670" s="15"/>
      <c r="F670" s="11"/>
    </row>
    <row r="671" spans="4:6">
      <c r="D671" s="15"/>
      <c r="F671" s="11"/>
    </row>
    <row r="672" spans="4:6">
      <c r="D672" s="15"/>
      <c r="F672" s="11"/>
    </row>
    <row r="673" spans="4:6">
      <c r="D673" s="15"/>
      <c r="F673" s="11"/>
    </row>
    <row r="674" spans="4:6">
      <c r="D674" s="15"/>
      <c r="F674" s="11"/>
    </row>
    <row r="675" spans="4:6">
      <c r="D675" s="15"/>
      <c r="F675" s="11"/>
    </row>
    <row r="676" spans="4:6">
      <c r="D676" s="15"/>
      <c r="F676" s="11"/>
    </row>
    <row r="677" spans="4:6">
      <c r="D677" s="15"/>
      <c r="F677" s="11"/>
    </row>
    <row r="678" spans="4:6">
      <c r="D678" s="15"/>
      <c r="F678" s="11"/>
    </row>
    <row r="679" spans="4:6">
      <c r="D679" s="15"/>
      <c r="F679" s="11"/>
    </row>
    <row r="680" spans="4:6">
      <c r="D680" s="15"/>
      <c r="F680" s="11"/>
    </row>
    <row r="681" spans="4:6">
      <c r="D681" s="15"/>
      <c r="F681" s="11"/>
    </row>
    <row r="682" spans="4:6">
      <c r="D682" s="15"/>
      <c r="F682" s="11"/>
    </row>
    <row r="683" spans="4:6">
      <c r="D683" s="15"/>
      <c r="F683" s="11"/>
    </row>
    <row r="684" spans="4:6">
      <c r="D684" s="15"/>
      <c r="F684" s="11"/>
    </row>
    <row r="685" spans="4:6">
      <c r="D685" s="15"/>
      <c r="F685" s="11"/>
    </row>
    <row r="686" spans="4:6">
      <c r="D686" s="15"/>
      <c r="F686" s="11"/>
    </row>
    <row r="687" spans="4:6">
      <c r="D687" s="15"/>
      <c r="F687" s="11"/>
    </row>
    <row r="688" spans="4:6">
      <c r="D688" s="15"/>
      <c r="F688" s="11"/>
    </row>
    <row r="689" spans="4:6">
      <c r="D689" s="15"/>
      <c r="F689" s="11"/>
    </row>
    <row r="690" spans="4:6">
      <c r="D690" s="15"/>
      <c r="F690" s="11"/>
    </row>
    <row r="691" spans="4:6">
      <c r="D691" s="15"/>
      <c r="F691" s="11"/>
    </row>
    <row r="692" spans="4:6">
      <c r="D692" s="15"/>
      <c r="F692" s="11"/>
    </row>
    <row r="693" spans="4:6">
      <c r="D693" s="15"/>
      <c r="F693" s="11"/>
    </row>
    <row r="694" spans="4:6">
      <c r="D694" s="15"/>
      <c r="F694" s="11"/>
    </row>
    <row r="695" spans="4:6">
      <c r="D695" s="15"/>
      <c r="F695" s="11"/>
    </row>
    <row r="696" spans="4:6">
      <c r="D696" s="15"/>
      <c r="F696" s="11"/>
    </row>
    <row r="697" spans="4:6">
      <c r="D697" s="15"/>
      <c r="F697" s="11"/>
    </row>
    <row r="698" spans="4:6">
      <c r="D698" s="15"/>
      <c r="F698" s="11"/>
    </row>
    <row r="699" spans="4:6">
      <c r="D699" s="15"/>
      <c r="F699" s="11"/>
    </row>
    <row r="700" spans="4:6">
      <c r="D700" s="15"/>
      <c r="F700" s="11"/>
    </row>
    <row r="701" spans="4:6">
      <c r="D701" s="15"/>
      <c r="F701" s="11"/>
    </row>
    <row r="702" spans="4:6">
      <c r="D702" s="15"/>
      <c r="F702" s="11"/>
    </row>
    <row r="703" spans="4:6">
      <c r="D703" s="15"/>
      <c r="F703" s="11"/>
    </row>
    <row r="704" spans="4:6">
      <c r="D704" s="15"/>
      <c r="F704" s="11"/>
    </row>
    <row r="705" spans="4:6">
      <c r="D705" s="15"/>
      <c r="F705" s="11"/>
    </row>
    <row r="706" spans="4:6">
      <c r="D706" s="15"/>
      <c r="F706" s="11"/>
    </row>
    <row r="707" spans="4:6">
      <c r="D707" s="15"/>
      <c r="F707" s="11"/>
    </row>
    <row r="708" spans="4:6">
      <c r="D708" s="15"/>
      <c r="F708" s="11"/>
    </row>
    <row r="709" spans="4:6">
      <c r="D709" s="15"/>
      <c r="F709" s="11"/>
    </row>
    <row r="710" spans="4:6">
      <c r="D710" s="15"/>
      <c r="F710" s="11"/>
    </row>
    <row r="711" spans="4:6">
      <c r="D711" s="15"/>
      <c r="F711" s="11"/>
    </row>
    <row r="712" spans="4:6">
      <c r="D712" s="15"/>
      <c r="F712" s="11"/>
    </row>
    <row r="713" spans="4:6">
      <c r="D713" s="15"/>
      <c r="F713" s="11"/>
    </row>
    <row r="714" spans="4:6">
      <c r="D714" s="15"/>
      <c r="F714" s="11"/>
    </row>
    <row r="715" spans="4:6">
      <c r="D715" s="15"/>
      <c r="F715" s="11"/>
    </row>
    <row r="716" spans="4:6">
      <c r="D716" s="15"/>
      <c r="F716" s="11"/>
    </row>
    <row r="717" spans="4:6">
      <c r="D717" s="15"/>
      <c r="F717" s="11"/>
    </row>
    <row r="718" spans="4:6">
      <c r="D718" s="15"/>
      <c r="F718" s="11"/>
    </row>
    <row r="719" spans="4:6">
      <c r="D719" s="15"/>
      <c r="F719" s="11"/>
    </row>
    <row r="720" spans="4:6">
      <c r="D720" s="15"/>
      <c r="F720" s="11"/>
    </row>
    <row r="721" spans="4:6">
      <c r="D721" s="15"/>
      <c r="F721" s="11"/>
    </row>
    <row r="722" spans="4:6">
      <c r="D722" s="15"/>
      <c r="F722" s="11"/>
    </row>
    <row r="723" spans="4:6">
      <c r="D723" s="15"/>
      <c r="F723" s="11"/>
    </row>
    <row r="724" spans="4:6">
      <c r="D724" s="15"/>
      <c r="F724" s="11"/>
    </row>
    <row r="725" spans="4:6">
      <c r="D725" s="15"/>
      <c r="F725" s="11"/>
    </row>
    <row r="726" spans="4:6">
      <c r="D726" s="15"/>
      <c r="F726" s="11"/>
    </row>
    <row r="727" spans="4:6">
      <c r="D727" s="15"/>
      <c r="F727" s="11"/>
    </row>
    <row r="728" spans="4:6">
      <c r="D728" s="15"/>
      <c r="F728" s="11"/>
    </row>
    <row r="729" spans="4:6">
      <c r="D729" s="15"/>
      <c r="F729" s="11"/>
    </row>
    <row r="730" spans="4:6">
      <c r="D730" s="15"/>
      <c r="F730" s="11"/>
    </row>
    <row r="731" spans="4:6">
      <c r="D731" s="15"/>
      <c r="F731" s="11"/>
    </row>
    <row r="732" spans="4:6">
      <c r="D732" s="15"/>
      <c r="F732" s="11"/>
    </row>
    <row r="733" spans="4:6">
      <c r="D733" s="15"/>
      <c r="F733" s="11"/>
    </row>
    <row r="734" spans="4:6">
      <c r="D734" s="15"/>
      <c r="F734" s="11"/>
    </row>
    <row r="735" spans="4:6">
      <c r="D735" s="15"/>
      <c r="F735" s="11"/>
    </row>
    <row r="736" spans="4:6">
      <c r="D736" s="15"/>
      <c r="F736" s="11"/>
    </row>
    <row r="737" spans="4:6">
      <c r="D737" s="15"/>
      <c r="F737" s="11"/>
    </row>
    <row r="738" spans="4:6">
      <c r="D738" s="15"/>
      <c r="F738" s="11"/>
    </row>
    <row r="739" spans="4:6">
      <c r="D739" s="15"/>
      <c r="F739" s="11"/>
    </row>
    <row r="740" spans="4:6">
      <c r="D740" s="15"/>
      <c r="F740" s="11"/>
    </row>
    <row r="741" spans="4:6">
      <c r="D741" s="15"/>
      <c r="F741" s="11"/>
    </row>
    <row r="742" spans="4:6">
      <c r="D742" s="15"/>
      <c r="F742" s="11"/>
    </row>
    <row r="743" spans="4:6">
      <c r="D743" s="15"/>
      <c r="F743" s="11"/>
    </row>
    <row r="744" spans="4:6">
      <c r="D744" s="15"/>
      <c r="F744" s="11"/>
    </row>
    <row r="745" spans="4:6">
      <c r="D745" s="15"/>
      <c r="F745" s="11"/>
    </row>
    <row r="746" spans="4:6">
      <c r="D746" s="15"/>
      <c r="F746" s="11"/>
    </row>
    <row r="747" spans="4:6">
      <c r="D747" s="15"/>
      <c r="F747" s="11"/>
    </row>
    <row r="748" spans="4:6">
      <c r="D748" s="15"/>
      <c r="F748" s="11"/>
    </row>
    <row r="749" spans="4:6">
      <c r="D749" s="15"/>
      <c r="F749" s="11"/>
    </row>
    <row r="750" spans="4:6">
      <c r="D750" s="15"/>
      <c r="F750" s="11"/>
    </row>
    <row r="751" spans="4:6">
      <c r="D751" s="15"/>
      <c r="F751" s="11"/>
    </row>
    <row r="752" spans="4:6">
      <c r="D752" s="15"/>
      <c r="F752" s="11"/>
    </row>
    <row r="753" spans="4:6">
      <c r="D753" s="15"/>
      <c r="F753" s="11"/>
    </row>
    <row r="754" spans="4:6">
      <c r="D754" s="15"/>
      <c r="F754" s="11"/>
    </row>
    <row r="755" spans="4:6">
      <c r="D755" s="15"/>
      <c r="F755" s="11"/>
    </row>
    <row r="756" spans="4:6">
      <c r="D756" s="15"/>
      <c r="F756" s="11"/>
    </row>
    <row r="757" spans="4:6">
      <c r="D757" s="15"/>
      <c r="F757" s="11"/>
    </row>
    <row r="758" spans="4:6">
      <c r="D758" s="15"/>
      <c r="F758" s="11"/>
    </row>
    <row r="759" spans="4:6">
      <c r="D759" s="15"/>
      <c r="F759" s="11"/>
    </row>
    <row r="760" spans="4:6">
      <c r="D760" s="15"/>
      <c r="F760" s="11"/>
    </row>
    <row r="761" spans="4:6">
      <c r="D761" s="15"/>
      <c r="F761" s="11"/>
    </row>
    <row r="762" spans="4:6">
      <c r="D762" s="15"/>
      <c r="F762" s="11"/>
    </row>
    <row r="763" spans="4:6">
      <c r="D763" s="15"/>
      <c r="F763" s="11"/>
    </row>
    <row r="764" spans="4:6">
      <c r="D764" s="15"/>
      <c r="F764" s="11"/>
    </row>
    <row r="765" spans="4:6">
      <c r="D765" s="15"/>
      <c r="F765" s="11"/>
    </row>
    <row r="766" spans="4:6">
      <c r="D766" s="15"/>
      <c r="F766" s="11"/>
    </row>
    <row r="767" spans="4:6">
      <c r="D767" s="15"/>
      <c r="F767" s="11"/>
    </row>
    <row r="768" spans="4:6">
      <c r="D768" s="15"/>
      <c r="F768" s="11"/>
    </row>
    <row r="769" spans="4:6">
      <c r="D769" s="15"/>
      <c r="F769" s="11"/>
    </row>
    <row r="770" spans="4:6">
      <c r="D770" s="15"/>
      <c r="F770" s="11"/>
    </row>
    <row r="771" spans="4:6">
      <c r="D771" s="15"/>
      <c r="F771" s="11"/>
    </row>
    <row r="772" spans="4:6">
      <c r="D772" s="15"/>
      <c r="F772" s="11"/>
    </row>
    <row r="773" spans="4:6">
      <c r="D773" s="15"/>
      <c r="F773" s="11"/>
    </row>
    <row r="774" spans="4:6">
      <c r="D774" s="15"/>
      <c r="F774" s="11"/>
    </row>
    <row r="775" spans="4:6">
      <c r="D775" s="15"/>
      <c r="F775" s="11"/>
    </row>
    <row r="776" spans="4:6">
      <c r="D776" s="15"/>
      <c r="F776" s="11"/>
    </row>
    <row r="777" spans="4:6">
      <c r="D777" s="15"/>
      <c r="F777" s="11"/>
    </row>
    <row r="778" spans="4:6">
      <c r="D778" s="15"/>
      <c r="F778" s="11"/>
    </row>
    <row r="779" spans="4:6">
      <c r="D779" s="15"/>
      <c r="F779" s="11"/>
    </row>
    <row r="780" spans="4:6">
      <c r="D780" s="15"/>
      <c r="F780" s="11"/>
    </row>
    <row r="781" spans="4:6">
      <c r="D781" s="15"/>
      <c r="F781" s="11"/>
    </row>
    <row r="782" spans="4:6">
      <c r="D782" s="15"/>
      <c r="F782" s="11"/>
    </row>
    <row r="783" spans="4:6">
      <c r="D783" s="15"/>
      <c r="F783" s="11"/>
    </row>
    <row r="784" spans="4:6">
      <c r="D784" s="15"/>
      <c r="F784" s="11"/>
    </row>
    <row r="785" spans="4:6">
      <c r="D785" s="15"/>
      <c r="F785" s="11"/>
    </row>
    <row r="786" spans="4:6">
      <c r="D786" s="15"/>
      <c r="F786" s="11"/>
    </row>
    <row r="787" spans="4:6">
      <c r="D787" s="15"/>
      <c r="F787" s="11"/>
    </row>
    <row r="788" spans="4:6">
      <c r="D788" s="15"/>
      <c r="F788" s="11"/>
    </row>
    <row r="789" spans="4:6">
      <c r="D789" s="15"/>
      <c r="F789" s="11"/>
    </row>
    <row r="790" spans="4:6">
      <c r="D790" s="15"/>
      <c r="F790" s="11"/>
    </row>
    <row r="791" spans="4:6">
      <c r="D791" s="15"/>
      <c r="F791" s="11"/>
    </row>
    <row r="792" spans="4:6">
      <c r="D792" s="15"/>
      <c r="F792" s="11"/>
    </row>
    <row r="793" spans="4:6">
      <c r="D793" s="15"/>
      <c r="F793" s="11"/>
    </row>
    <row r="794" spans="4:6">
      <c r="D794" s="15"/>
      <c r="F794" s="11"/>
    </row>
    <row r="795" spans="4:6">
      <c r="D795" s="15"/>
      <c r="F795" s="11"/>
    </row>
    <row r="796" spans="4:6">
      <c r="D796" s="15"/>
      <c r="F796" s="11"/>
    </row>
    <row r="797" spans="4:6">
      <c r="D797" s="15"/>
      <c r="F797" s="11"/>
    </row>
    <row r="798" spans="4:6">
      <c r="D798" s="15"/>
      <c r="F798" s="11"/>
    </row>
    <row r="799" spans="4:6">
      <c r="D799" s="15"/>
      <c r="F799" s="11"/>
    </row>
    <row r="800" spans="4:6">
      <c r="D800" s="15"/>
      <c r="F800" s="11"/>
    </row>
    <row r="801" spans="4:6">
      <c r="D801" s="15"/>
      <c r="F801" s="11"/>
    </row>
    <row r="802" spans="4:6">
      <c r="D802" s="15"/>
      <c r="F802" s="11"/>
    </row>
    <row r="803" spans="4:6">
      <c r="D803" s="15"/>
      <c r="F803" s="11"/>
    </row>
    <row r="804" spans="4:6">
      <c r="D804" s="15"/>
      <c r="F804" s="11"/>
    </row>
    <row r="805" spans="4:6">
      <c r="D805" s="15"/>
      <c r="F805" s="11"/>
    </row>
    <row r="806" spans="4:6">
      <c r="D806" s="15"/>
      <c r="F806" s="11"/>
    </row>
    <row r="807" spans="4:6">
      <c r="D807" s="15"/>
      <c r="F807" s="11"/>
    </row>
    <row r="808" spans="4:6">
      <c r="D808" s="15"/>
      <c r="F808" s="11"/>
    </row>
    <row r="809" spans="4:6">
      <c r="D809" s="15"/>
      <c r="F809" s="11"/>
    </row>
    <row r="810" spans="4:6">
      <c r="D810" s="15"/>
      <c r="F810" s="11"/>
    </row>
    <row r="811" spans="4:6">
      <c r="D811" s="15"/>
      <c r="F811" s="11"/>
    </row>
    <row r="812" spans="4:6">
      <c r="D812" s="15"/>
      <c r="F812" s="11"/>
    </row>
    <row r="813" spans="4:6">
      <c r="D813" s="15"/>
      <c r="F813" s="11"/>
    </row>
    <row r="814" spans="4:6">
      <c r="D814" s="15"/>
      <c r="F814" s="11"/>
    </row>
    <row r="815" spans="4:6">
      <c r="D815" s="15"/>
      <c r="F815" s="11"/>
    </row>
    <row r="816" spans="4:6">
      <c r="D816" s="15"/>
      <c r="F816" s="11"/>
    </row>
    <row r="817" spans="4:6">
      <c r="D817" s="15"/>
      <c r="F817" s="11"/>
    </row>
    <row r="818" spans="4:6">
      <c r="D818" s="15"/>
      <c r="F818" s="11"/>
    </row>
    <row r="819" spans="4:6">
      <c r="D819" s="15"/>
      <c r="F819" s="11"/>
    </row>
    <row r="820" spans="4:6">
      <c r="D820" s="15"/>
      <c r="F820" s="11"/>
    </row>
    <row r="821" spans="4:6">
      <c r="D821" s="15"/>
      <c r="F821" s="11"/>
    </row>
    <row r="822" spans="4:6">
      <c r="D822" s="15"/>
      <c r="F822" s="11"/>
    </row>
    <row r="823" spans="4:6">
      <c r="D823" s="15"/>
      <c r="F823" s="11"/>
    </row>
    <row r="824" spans="4:6">
      <c r="D824" s="15"/>
      <c r="F824" s="11"/>
    </row>
    <row r="825" spans="4:6">
      <c r="D825" s="15"/>
      <c r="F825" s="11"/>
    </row>
    <row r="826" spans="4:6">
      <c r="D826" s="15"/>
      <c r="F826" s="11"/>
    </row>
    <row r="827" spans="4:6">
      <c r="D827" s="15"/>
      <c r="F827" s="11"/>
    </row>
    <row r="828" spans="4:6">
      <c r="D828" s="15"/>
      <c r="F828" s="11"/>
    </row>
    <row r="829" spans="4:6">
      <c r="D829" s="15"/>
      <c r="F829" s="11"/>
    </row>
    <row r="830" spans="4:6">
      <c r="D830" s="15"/>
      <c r="F830" s="11"/>
    </row>
    <row r="831" spans="4:6">
      <c r="D831" s="15"/>
      <c r="F831" s="11"/>
    </row>
    <row r="832" spans="4:6">
      <c r="D832" s="15"/>
      <c r="F832" s="11"/>
    </row>
    <row r="833" spans="4:6">
      <c r="D833" s="15"/>
      <c r="F833" s="11"/>
    </row>
    <row r="834" spans="4:6">
      <c r="D834" s="15"/>
      <c r="F834" s="11"/>
    </row>
    <row r="835" spans="4:6">
      <c r="D835" s="15"/>
      <c r="F835" s="11"/>
    </row>
    <row r="836" spans="4:6">
      <c r="D836" s="15"/>
      <c r="F836" s="11"/>
    </row>
    <row r="837" spans="4:6">
      <c r="D837" s="15"/>
      <c r="F837" s="11"/>
    </row>
    <row r="838" spans="4:6">
      <c r="D838" s="15"/>
      <c r="F838" s="11"/>
    </row>
    <row r="839" spans="4:6">
      <c r="D839" s="15"/>
      <c r="F839" s="11"/>
    </row>
    <row r="840" spans="4:6">
      <c r="D840" s="15"/>
      <c r="F840" s="11"/>
    </row>
    <row r="841" spans="4:6">
      <c r="D841" s="15"/>
      <c r="F841" s="11"/>
    </row>
    <row r="842" spans="4:6">
      <c r="D842" s="15"/>
      <c r="F842" s="11"/>
    </row>
    <row r="843" spans="4:6">
      <c r="D843" s="15"/>
      <c r="F843" s="11"/>
    </row>
    <row r="844" spans="4:6">
      <c r="D844" s="15"/>
      <c r="F844" s="11"/>
    </row>
    <row r="845" spans="4:6">
      <c r="D845" s="15"/>
      <c r="F845" s="11"/>
    </row>
    <row r="846" spans="4:6">
      <c r="D846" s="15"/>
      <c r="F846" s="11"/>
    </row>
    <row r="847" spans="4:6">
      <c r="D847" s="15"/>
      <c r="F847" s="11"/>
    </row>
    <row r="848" spans="4:6">
      <c r="D848" s="15"/>
      <c r="F848" s="11"/>
    </row>
    <row r="849" spans="4:6">
      <c r="D849" s="15"/>
      <c r="F849" s="11"/>
    </row>
    <row r="850" spans="4:6">
      <c r="D850" s="15"/>
      <c r="F850" s="11"/>
    </row>
    <row r="851" spans="4:6">
      <c r="D851" s="15"/>
      <c r="F851" s="11"/>
    </row>
    <row r="852" spans="4:6">
      <c r="D852" s="15"/>
      <c r="F852" s="11"/>
    </row>
    <row r="853" spans="4:6">
      <c r="D853" s="15"/>
      <c r="F853" s="11"/>
    </row>
    <row r="854" spans="4:6">
      <c r="D854" s="15"/>
      <c r="F854" s="11"/>
    </row>
    <row r="855" spans="4:6">
      <c r="D855" s="15"/>
      <c r="F855" s="11"/>
    </row>
    <row r="856" spans="4:6">
      <c r="D856" s="15"/>
      <c r="F856" s="11"/>
    </row>
    <row r="857" spans="4:6">
      <c r="D857" s="15"/>
      <c r="F857" s="11"/>
    </row>
    <row r="858" spans="4:6">
      <c r="D858" s="15"/>
      <c r="F858" s="11"/>
    </row>
    <row r="859" spans="4:6">
      <c r="D859" s="15"/>
      <c r="F859" s="11"/>
    </row>
    <row r="860" spans="4:6">
      <c r="D860" s="15"/>
      <c r="F860" s="11"/>
    </row>
    <row r="861" spans="4:6">
      <c r="D861" s="15"/>
      <c r="F861" s="11"/>
    </row>
    <row r="862" spans="4:6">
      <c r="D862" s="15"/>
      <c r="F862" s="11"/>
    </row>
    <row r="863" spans="4:6">
      <c r="D863" s="15"/>
      <c r="F863" s="11"/>
    </row>
    <row r="864" spans="4:6">
      <c r="D864" s="15"/>
      <c r="F864" s="11"/>
    </row>
    <row r="865" spans="4:6">
      <c r="D865" s="15"/>
      <c r="F865" s="11"/>
    </row>
    <row r="866" spans="4:6">
      <c r="D866" s="15"/>
      <c r="F866" s="11"/>
    </row>
    <row r="867" spans="4:6">
      <c r="D867" s="15"/>
      <c r="F867" s="11"/>
    </row>
    <row r="868" spans="4:6">
      <c r="D868" s="15"/>
      <c r="F868" s="11"/>
    </row>
    <row r="869" spans="4:6">
      <c r="D869" s="15"/>
      <c r="F869" s="11"/>
    </row>
    <row r="870" spans="4:6">
      <c r="D870" s="15"/>
      <c r="F870" s="11"/>
    </row>
    <row r="871" spans="4:6">
      <c r="D871" s="15"/>
      <c r="F871" s="11"/>
    </row>
    <row r="872" spans="4:6">
      <c r="D872" s="15"/>
      <c r="F872" s="11"/>
    </row>
    <row r="873" spans="4:6">
      <c r="D873" s="15"/>
      <c r="F873" s="11"/>
    </row>
    <row r="874" spans="4:6">
      <c r="D874" s="15"/>
      <c r="F874" s="11"/>
    </row>
    <row r="875" spans="4:6">
      <c r="D875" s="15"/>
      <c r="F875" s="11"/>
    </row>
    <row r="876" spans="4:6">
      <c r="D876" s="15"/>
      <c r="F876" s="11"/>
    </row>
    <row r="877" spans="4:6">
      <c r="D877" s="15"/>
      <c r="F877" s="11"/>
    </row>
    <row r="878" spans="4:6">
      <c r="D878" s="15"/>
      <c r="F878" s="11"/>
    </row>
    <row r="879" spans="4:6">
      <c r="D879" s="15"/>
      <c r="F879" s="11"/>
    </row>
    <row r="880" spans="4:6">
      <c r="D880" s="15"/>
      <c r="F880" s="11"/>
    </row>
    <row r="881" spans="4:6">
      <c r="D881" s="15"/>
      <c r="F881" s="11"/>
    </row>
    <row r="882" spans="4:6">
      <c r="D882" s="15"/>
      <c r="F882" s="11"/>
    </row>
    <row r="883" spans="4:6">
      <c r="D883" s="15"/>
      <c r="F883" s="11"/>
    </row>
    <row r="884" spans="4:6">
      <c r="D884" s="15"/>
      <c r="F884" s="11"/>
    </row>
    <row r="885" spans="4:6">
      <c r="D885" s="15"/>
      <c r="F885" s="11"/>
    </row>
    <row r="886" spans="4:6">
      <c r="D886" s="15"/>
      <c r="F886" s="11"/>
    </row>
    <row r="887" spans="4:6">
      <c r="D887" s="15"/>
      <c r="F887" s="11"/>
    </row>
    <row r="888" spans="4:6">
      <c r="D888" s="15"/>
      <c r="F888" s="11"/>
    </row>
    <row r="889" spans="4:6">
      <c r="D889" s="15"/>
      <c r="F889" s="11"/>
    </row>
    <row r="890" spans="4:6">
      <c r="D890" s="15"/>
      <c r="F890" s="11"/>
    </row>
    <row r="891" spans="4:6">
      <c r="D891" s="15"/>
      <c r="F891" s="11"/>
    </row>
    <row r="892" spans="4:6">
      <c r="D892" s="15"/>
      <c r="F892" s="11"/>
    </row>
    <row r="893" spans="4:6">
      <c r="D893" s="15"/>
      <c r="F893" s="11"/>
    </row>
    <row r="894" spans="4:6">
      <c r="D894" s="15"/>
      <c r="F894" s="11"/>
    </row>
    <row r="895" spans="4:6">
      <c r="D895" s="15"/>
      <c r="F895" s="11"/>
    </row>
    <row r="896" spans="4:6">
      <c r="D896" s="15"/>
      <c r="F896" s="11"/>
    </row>
    <row r="897" spans="4:6">
      <c r="D897" s="15"/>
      <c r="F897" s="11"/>
    </row>
    <row r="898" spans="4:6">
      <c r="D898" s="15"/>
      <c r="F898" s="11"/>
    </row>
    <row r="899" spans="4:6">
      <c r="D899" s="15"/>
      <c r="F899" s="11"/>
    </row>
    <row r="900" spans="4:6">
      <c r="D900" s="15"/>
      <c r="F900" s="11"/>
    </row>
    <row r="901" spans="4:6">
      <c r="D901" s="15"/>
      <c r="F901" s="11"/>
    </row>
    <row r="902" spans="4:6">
      <c r="D902" s="15"/>
      <c r="F902" s="11"/>
    </row>
    <row r="903" spans="4:6">
      <c r="D903" s="15"/>
      <c r="F903" s="11"/>
    </row>
    <row r="904" spans="4:6">
      <c r="D904" s="15"/>
      <c r="F904" s="11"/>
    </row>
    <row r="905" spans="4:6">
      <c r="D905" s="15"/>
      <c r="F905" s="11"/>
    </row>
    <row r="906" spans="4:6">
      <c r="D906" s="15"/>
      <c r="F906" s="11"/>
    </row>
    <row r="907" spans="4:6">
      <c r="D907" s="15"/>
      <c r="F907" s="11"/>
    </row>
    <row r="908" spans="4:6">
      <c r="D908" s="15"/>
      <c r="F908" s="11"/>
    </row>
    <row r="909" spans="4:6">
      <c r="D909" s="15"/>
      <c r="F909" s="11"/>
    </row>
    <row r="910" spans="4:6">
      <c r="D910" s="15"/>
      <c r="F910" s="11"/>
    </row>
    <row r="911" spans="4:6">
      <c r="D911" s="15"/>
      <c r="F911" s="11"/>
    </row>
    <row r="912" spans="4:6">
      <c r="D912" s="15"/>
      <c r="F912" s="11"/>
    </row>
    <row r="913" spans="4:6">
      <c r="D913" s="15"/>
      <c r="F913" s="11"/>
    </row>
    <row r="914" spans="4:6">
      <c r="D914" s="15"/>
      <c r="F914" s="11"/>
    </row>
    <row r="915" spans="4:6">
      <c r="D915" s="15"/>
      <c r="F915" s="11"/>
    </row>
    <row r="916" spans="4:6">
      <c r="D916" s="15"/>
      <c r="F916" s="11"/>
    </row>
    <row r="917" spans="4:6">
      <c r="D917" s="15"/>
      <c r="F917" s="11"/>
    </row>
    <row r="918" spans="4:6">
      <c r="D918" s="15"/>
      <c r="F918" s="11"/>
    </row>
    <row r="919" spans="4:6">
      <c r="D919" s="15"/>
      <c r="F919" s="11"/>
    </row>
    <row r="920" spans="4:6">
      <c r="D920" s="15"/>
      <c r="F920" s="11"/>
    </row>
    <row r="921" spans="4:6">
      <c r="D921" s="15"/>
      <c r="F921" s="11"/>
    </row>
    <row r="922" spans="4:6">
      <c r="D922" s="15"/>
      <c r="F922" s="11"/>
    </row>
    <row r="923" spans="4:6">
      <c r="D923" s="15"/>
      <c r="F923" s="11"/>
    </row>
    <row r="924" spans="4:6">
      <c r="D924" s="15"/>
      <c r="F924" s="11"/>
    </row>
    <row r="925" spans="4:6">
      <c r="D925" s="15"/>
      <c r="F925" s="11"/>
    </row>
    <row r="926" spans="4:6">
      <c r="D926" s="15"/>
      <c r="F926" s="11"/>
    </row>
    <row r="927" spans="4:6">
      <c r="D927" s="15"/>
      <c r="F927" s="11"/>
    </row>
    <row r="928" spans="4:6">
      <c r="D928" s="15"/>
      <c r="F928" s="11"/>
    </row>
    <row r="929" spans="4:6">
      <c r="D929" s="15"/>
      <c r="F929" s="11"/>
    </row>
    <row r="930" spans="4:6">
      <c r="D930" s="15"/>
      <c r="F930" s="11"/>
    </row>
    <row r="931" spans="4:6">
      <c r="D931" s="15"/>
      <c r="F931" s="11"/>
    </row>
    <row r="932" spans="4:6">
      <c r="D932" s="15"/>
      <c r="F932" s="11"/>
    </row>
    <row r="933" spans="4:6">
      <c r="D933" s="15"/>
      <c r="F933" s="11"/>
    </row>
    <row r="934" spans="4:6">
      <c r="D934" s="15"/>
      <c r="F934" s="11"/>
    </row>
    <row r="935" spans="4:6">
      <c r="D935" s="15"/>
      <c r="F935" s="11"/>
    </row>
    <row r="936" spans="4:6">
      <c r="D936" s="15"/>
      <c r="F936" s="11"/>
    </row>
    <row r="937" spans="4:6">
      <c r="D937" s="15"/>
      <c r="F937" s="11"/>
    </row>
    <row r="938" spans="4:6">
      <c r="D938" s="15"/>
      <c r="F938" s="11"/>
    </row>
    <row r="939" spans="4:6">
      <c r="D939" s="15"/>
      <c r="F939" s="11"/>
    </row>
    <row r="940" spans="4:6">
      <c r="D940" s="15"/>
      <c r="F940" s="11"/>
    </row>
    <row r="941" spans="4:6">
      <c r="D941" s="15"/>
      <c r="F941" s="11"/>
    </row>
    <row r="942" spans="4:6">
      <c r="D942" s="15"/>
      <c r="F942" s="11"/>
    </row>
    <row r="943" spans="4:6">
      <c r="D943" s="15"/>
      <c r="F943" s="11"/>
    </row>
    <row r="944" spans="4:6">
      <c r="D944" s="15"/>
      <c r="F944" s="11"/>
    </row>
    <row r="945" spans="4:6">
      <c r="D945" s="15"/>
      <c r="F945" s="11"/>
    </row>
    <row r="946" spans="4:6">
      <c r="D946" s="15"/>
      <c r="F946" s="11"/>
    </row>
    <row r="947" spans="4:6">
      <c r="D947" s="15"/>
      <c r="F947" s="11"/>
    </row>
    <row r="948" spans="4:6">
      <c r="D948" s="15"/>
      <c r="F948" s="11"/>
    </row>
    <row r="949" spans="4:6">
      <c r="D949" s="15"/>
      <c r="F949" s="11"/>
    </row>
    <row r="950" spans="4:6">
      <c r="D950" s="15"/>
      <c r="F950" s="11"/>
    </row>
    <row r="951" spans="4:6">
      <c r="D951" s="15"/>
      <c r="F951" s="11"/>
    </row>
    <row r="952" spans="4:6">
      <c r="D952" s="15"/>
      <c r="F952" s="11"/>
    </row>
    <row r="953" spans="4:6">
      <c r="D953" s="15"/>
      <c r="F953" s="11"/>
    </row>
    <row r="954" spans="4:6">
      <c r="D954" s="15"/>
      <c r="F954" s="11"/>
    </row>
    <row r="955" spans="4:6">
      <c r="D955" s="15"/>
      <c r="F955" s="11"/>
    </row>
    <row r="956" spans="4:6">
      <c r="D956" s="15"/>
      <c r="F956" s="11"/>
    </row>
    <row r="957" spans="4:6">
      <c r="D957" s="15"/>
      <c r="F957" s="11"/>
    </row>
    <row r="958" spans="4:6">
      <c r="D958" s="15"/>
      <c r="F958" s="11"/>
    </row>
    <row r="959" spans="4:6">
      <c r="D959" s="15"/>
      <c r="F959" s="11"/>
    </row>
    <row r="960" spans="4:6">
      <c r="D960" s="15"/>
      <c r="F960" s="11"/>
    </row>
    <row r="961" spans="4:6">
      <c r="D961" s="15"/>
      <c r="F961" s="11"/>
    </row>
    <row r="962" spans="4:6">
      <c r="D962" s="15"/>
      <c r="F962" s="11"/>
    </row>
    <row r="963" spans="4:6">
      <c r="D963" s="15"/>
      <c r="F963" s="11"/>
    </row>
    <row r="964" spans="4:6">
      <c r="D964" s="15"/>
      <c r="F964" s="11"/>
    </row>
    <row r="965" spans="4:6">
      <c r="D965" s="15"/>
      <c r="F965" s="11"/>
    </row>
    <row r="966" spans="4:6">
      <c r="D966" s="15"/>
      <c r="F966" s="11"/>
    </row>
    <row r="967" spans="4:6">
      <c r="D967" s="15"/>
      <c r="F967" s="11"/>
    </row>
    <row r="968" spans="4:6">
      <c r="D968" s="15"/>
      <c r="F968" s="11"/>
    </row>
    <row r="969" spans="4:6">
      <c r="D969" s="15"/>
      <c r="F969" s="11"/>
    </row>
    <row r="970" spans="4:6">
      <c r="D970" s="15"/>
      <c r="F970" s="11"/>
    </row>
    <row r="971" spans="4:6">
      <c r="D971" s="15"/>
      <c r="F971" s="11"/>
    </row>
    <row r="972" spans="4:6">
      <c r="D972" s="15"/>
      <c r="F972" s="11"/>
    </row>
    <row r="973" spans="4:6">
      <c r="D973" s="15"/>
      <c r="F973" s="11"/>
    </row>
    <row r="974" spans="4:6">
      <c r="D974" s="15"/>
      <c r="F974" s="11"/>
    </row>
    <row r="975" spans="4:6">
      <c r="D975" s="15"/>
      <c r="F975" s="11"/>
    </row>
    <row r="976" spans="4:6">
      <c r="D976" s="15"/>
      <c r="F976" s="11"/>
    </row>
    <row r="977" spans="4:6">
      <c r="D977" s="15"/>
      <c r="F977" s="11"/>
    </row>
    <row r="978" spans="4:6">
      <c r="D978" s="15"/>
      <c r="F978" s="11"/>
    </row>
    <row r="979" spans="4:6">
      <c r="D979" s="15"/>
      <c r="F979" s="11"/>
    </row>
    <row r="980" spans="4:6">
      <c r="D980" s="15"/>
      <c r="F980" s="11"/>
    </row>
    <row r="981" spans="4:6">
      <c r="D981" s="15"/>
      <c r="F981" s="11"/>
    </row>
    <row r="982" spans="4:6">
      <c r="D982" s="15"/>
      <c r="F982" s="11"/>
    </row>
    <row r="983" spans="4:6">
      <c r="D983" s="15"/>
      <c r="F983" s="11"/>
    </row>
    <row r="984" spans="4:6">
      <c r="D984" s="15"/>
      <c r="F984" s="11"/>
    </row>
    <row r="985" spans="4:6">
      <c r="D985" s="15"/>
      <c r="F985" s="11"/>
    </row>
    <row r="986" spans="4:6">
      <c r="D986" s="15"/>
      <c r="F986" s="11"/>
    </row>
    <row r="987" spans="4:6">
      <c r="D987" s="15"/>
      <c r="F987" s="11"/>
    </row>
    <row r="988" spans="4:6">
      <c r="D988" s="15"/>
      <c r="F988" s="11"/>
    </row>
    <row r="989" spans="4:6">
      <c r="D989" s="15"/>
      <c r="F989" s="11"/>
    </row>
    <row r="990" spans="4:6">
      <c r="D990" s="15"/>
      <c r="F990" s="11"/>
    </row>
    <row r="991" spans="4:6">
      <c r="D991" s="15"/>
      <c r="F991" s="11"/>
    </row>
    <row r="992" spans="4:6">
      <c r="D992" s="15"/>
      <c r="F992" s="11"/>
    </row>
    <row r="993" spans="4:6">
      <c r="D993" s="15"/>
      <c r="F993" s="11"/>
    </row>
    <row r="994" spans="4:6">
      <c r="D994" s="15"/>
      <c r="F994" s="11"/>
    </row>
    <row r="995" spans="4:6">
      <c r="D995" s="15"/>
      <c r="F995" s="11"/>
    </row>
    <row r="996" spans="4:6">
      <c r="D996" s="15"/>
      <c r="F996" s="11"/>
    </row>
    <row r="997" spans="4:6">
      <c r="D997" s="15"/>
      <c r="F997" s="11"/>
    </row>
    <row r="998" spans="4:6">
      <c r="D998" s="15"/>
      <c r="F998" s="11"/>
    </row>
    <row r="999" spans="4:6">
      <c r="D999" s="15"/>
      <c r="F999" s="11"/>
    </row>
    <row r="1000" spans="4:6">
      <c r="D1000" s="15"/>
      <c r="F1000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416"/>
  <sheetViews>
    <sheetView workbookViewId="0">
      <selection activeCell="F15" sqref="F15"/>
    </sheetView>
  </sheetViews>
  <sheetFormatPr defaultColWidth="14.42578125" defaultRowHeight="15.75" customHeight="1"/>
  <sheetData>
    <row r="1" spans="1:6">
      <c r="A1" s="4" t="s">
        <v>0</v>
      </c>
      <c r="B1" s="4" t="s">
        <v>13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>
        <v>0.40813657407407405</v>
      </c>
      <c r="B2" s="4" t="s">
        <v>14</v>
      </c>
      <c r="C2" s="4" t="s">
        <v>7</v>
      </c>
      <c r="D2" s="12">
        <v>2.6469999999999998</v>
      </c>
      <c r="E2" s="12">
        <v>4</v>
      </c>
      <c r="F2" s="13">
        <f t="shared" ref="F2:F22" si="0">IF(C2="Продажа",D2*E2,-D2*E2)</f>
        <v>10.587999999999999</v>
      </c>
    </row>
    <row r="3" spans="1:6">
      <c r="A3" s="7">
        <v>0.40541666666666665</v>
      </c>
      <c r="B3" s="4" t="s">
        <v>14</v>
      </c>
      <c r="C3" s="4" t="s">
        <v>7</v>
      </c>
      <c r="D3" s="12">
        <v>2.6549999999999998</v>
      </c>
      <c r="E3" s="12">
        <v>1</v>
      </c>
      <c r="F3" s="13">
        <f t="shared" si="0"/>
        <v>2.6549999999999998</v>
      </c>
    </row>
    <row r="4" spans="1:6">
      <c r="A4" s="7">
        <v>0.40357638888888892</v>
      </c>
      <c r="B4" s="4" t="s">
        <v>14</v>
      </c>
      <c r="C4" s="4" t="s">
        <v>7</v>
      </c>
      <c r="D4" s="12">
        <v>2.6480000000000001</v>
      </c>
      <c r="E4" s="12">
        <v>2</v>
      </c>
      <c r="F4" s="13">
        <f t="shared" si="0"/>
        <v>5.2960000000000003</v>
      </c>
    </row>
    <row r="5" spans="1:6">
      <c r="A5" s="7">
        <v>0.40357638888888892</v>
      </c>
      <c r="B5" s="4" t="s">
        <v>14</v>
      </c>
      <c r="C5" s="4" t="s">
        <v>7</v>
      </c>
      <c r="D5" s="12">
        <v>2.6480000000000001</v>
      </c>
      <c r="E5" s="12">
        <v>2</v>
      </c>
      <c r="F5" s="13">
        <f t="shared" si="0"/>
        <v>5.2960000000000003</v>
      </c>
    </row>
    <row r="6" spans="1:6">
      <c r="A6" s="7">
        <v>0.39869212962962963</v>
      </c>
      <c r="B6" s="4" t="s">
        <v>14</v>
      </c>
      <c r="C6" s="4" t="s">
        <v>7</v>
      </c>
      <c r="D6" s="12">
        <v>2.6560000000000001</v>
      </c>
      <c r="E6" s="12">
        <v>24</v>
      </c>
      <c r="F6" s="13">
        <f t="shared" si="0"/>
        <v>63.744</v>
      </c>
    </row>
    <row r="7" spans="1:6">
      <c r="A7" s="7">
        <v>0.38912037037037039</v>
      </c>
      <c r="B7" s="4" t="s">
        <v>14</v>
      </c>
      <c r="C7" s="4" t="s">
        <v>8</v>
      </c>
      <c r="D7" s="12">
        <v>2.6629999999999998</v>
      </c>
      <c r="E7" s="12">
        <v>2</v>
      </c>
      <c r="F7" s="13">
        <f t="shared" si="0"/>
        <v>-5.3259999999999996</v>
      </c>
    </row>
    <row r="8" spans="1:6">
      <c r="A8" s="7">
        <v>0.3885763888888889</v>
      </c>
      <c r="B8" s="4" t="s">
        <v>14</v>
      </c>
      <c r="C8" s="4" t="s">
        <v>8</v>
      </c>
      <c r="D8" s="12">
        <v>2.6680000000000001</v>
      </c>
      <c r="E8" s="12">
        <v>13</v>
      </c>
      <c r="F8" s="13">
        <f t="shared" si="0"/>
        <v>-34.684000000000005</v>
      </c>
    </row>
    <row r="9" spans="1:6">
      <c r="A9" s="7">
        <v>0.38842592592592595</v>
      </c>
      <c r="B9" s="4" t="s">
        <v>14</v>
      </c>
      <c r="C9" s="4" t="s">
        <v>8</v>
      </c>
      <c r="D9" s="12">
        <v>2.6680000000000001</v>
      </c>
      <c r="E9" s="12">
        <v>33</v>
      </c>
      <c r="F9" s="13">
        <f t="shared" si="0"/>
        <v>-88.044000000000011</v>
      </c>
    </row>
    <row r="10" spans="1:6">
      <c r="A10" s="7">
        <v>0.3883449074074074</v>
      </c>
      <c r="B10" s="4" t="s">
        <v>14</v>
      </c>
      <c r="C10" s="4" t="s">
        <v>8</v>
      </c>
      <c r="D10" s="12">
        <v>2.67</v>
      </c>
      <c r="E10" s="12">
        <v>12</v>
      </c>
      <c r="F10" s="13">
        <f t="shared" si="0"/>
        <v>-32.04</v>
      </c>
    </row>
    <row r="11" spans="1:6">
      <c r="A11" s="7">
        <v>0.3883449074074074</v>
      </c>
      <c r="B11" s="4" t="s">
        <v>14</v>
      </c>
      <c r="C11" s="4" t="s">
        <v>8</v>
      </c>
      <c r="D11" s="12">
        <v>2.67</v>
      </c>
      <c r="E11" s="12">
        <v>1</v>
      </c>
      <c r="F11" s="13">
        <f t="shared" si="0"/>
        <v>-2.67</v>
      </c>
    </row>
    <row r="12" spans="1:6">
      <c r="A12" s="7">
        <v>0.3883449074074074</v>
      </c>
      <c r="B12" s="4" t="s">
        <v>14</v>
      </c>
      <c r="C12" s="4" t="s">
        <v>8</v>
      </c>
      <c r="D12" s="12">
        <v>2.67</v>
      </c>
      <c r="E12" s="12">
        <v>1</v>
      </c>
      <c r="F12" s="13">
        <f t="shared" si="0"/>
        <v>-2.67</v>
      </c>
    </row>
    <row r="13" spans="1:6">
      <c r="A13" s="7">
        <v>0.3883449074074074</v>
      </c>
      <c r="B13" s="4" t="s">
        <v>14</v>
      </c>
      <c r="C13" s="4" t="s">
        <v>8</v>
      </c>
      <c r="D13" s="12">
        <v>2.67</v>
      </c>
      <c r="E13" s="12">
        <v>1</v>
      </c>
      <c r="F13" s="13">
        <f t="shared" si="0"/>
        <v>-2.67</v>
      </c>
    </row>
    <row r="14" spans="1:6">
      <c r="A14" s="7">
        <v>0.3883449074074074</v>
      </c>
      <c r="B14" s="4" t="s">
        <v>14</v>
      </c>
      <c r="C14" s="4" t="s">
        <v>8</v>
      </c>
      <c r="D14" s="12">
        <v>2.67</v>
      </c>
      <c r="E14" s="12">
        <v>1</v>
      </c>
      <c r="F14" s="13">
        <f t="shared" si="0"/>
        <v>-2.67</v>
      </c>
    </row>
    <row r="15" spans="1:6">
      <c r="A15" s="7">
        <v>0.38766203703703705</v>
      </c>
      <c r="B15" s="4" t="s">
        <v>14</v>
      </c>
      <c r="C15" s="4" t="s">
        <v>8</v>
      </c>
      <c r="D15" s="12">
        <v>2.6619999999999999</v>
      </c>
      <c r="E15" s="12">
        <v>6</v>
      </c>
      <c r="F15" s="13">
        <f t="shared" si="0"/>
        <v>-15.972</v>
      </c>
    </row>
    <row r="16" spans="1:6">
      <c r="A16" s="7">
        <v>0.38737268518518519</v>
      </c>
      <c r="B16" s="4" t="s">
        <v>14</v>
      </c>
      <c r="C16" s="4" t="s">
        <v>8</v>
      </c>
      <c r="D16" s="12">
        <v>2.66</v>
      </c>
      <c r="E16" s="12">
        <v>20</v>
      </c>
      <c r="F16" s="13">
        <f t="shared" si="0"/>
        <v>-53.2</v>
      </c>
    </row>
    <row r="17" spans="1:6">
      <c r="A17" s="7">
        <v>0.38737268518518519</v>
      </c>
      <c r="B17" s="4" t="s">
        <v>14</v>
      </c>
      <c r="C17" s="4" t="s">
        <v>8</v>
      </c>
      <c r="D17" s="12">
        <v>2.66</v>
      </c>
      <c r="E17" s="12">
        <v>1</v>
      </c>
      <c r="F17" s="13">
        <f t="shared" si="0"/>
        <v>-2.66</v>
      </c>
    </row>
    <row r="18" spans="1:6">
      <c r="A18" s="7">
        <v>0.38681712962962961</v>
      </c>
      <c r="B18" s="4" t="s">
        <v>14</v>
      </c>
      <c r="C18" s="4" t="s">
        <v>8</v>
      </c>
      <c r="D18" s="12">
        <v>2.6589999999999998</v>
      </c>
      <c r="E18" s="12">
        <v>5</v>
      </c>
      <c r="F18" s="13">
        <f t="shared" si="0"/>
        <v>-13.294999999999998</v>
      </c>
    </row>
    <row r="19" spans="1:6">
      <c r="A19" s="7">
        <v>0.38140046296296298</v>
      </c>
      <c r="B19" s="4" t="s">
        <v>14</v>
      </c>
      <c r="C19" s="4" t="s">
        <v>8</v>
      </c>
      <c r="D19" s="12">
        <v>2.66</v>
      </c>
      <c r="E19" s="12">
        <v>42</v>
      </c>
      <c r="F19" s="13">
        <f t="shared" si="0"/>
        <v>-111.72</v>
      </c>
    </row>
    <row r="20" spans="1:6">
      <c r="A20" s="7">
        <v>0.37869212962962961</v>
      </c>
      <c r="B20" s="4" t="s">
        <v>14</v>
      </c>
      <c r="C20" s="4" t="s">
        <v>7</v>
      </c>
      <c r="D20" s="12">
        <v>2.6680000000000001</v>
      </c>
      <c r="E20" s="12">
        <v>99</v>
      </c>
      <c r="F20" s="13">
        <f t="shared" si="0"/>
        <v>264.13200000000001</v>
      </c>
    </row>
    <row r="21" spans="1:6">
      <c r="A21" s="7">
        <v>0.37496527777777777</v>
      </c>
      <c r="B21" s="4" t="s">
        <v>14</v>
      </c>
      <c r="C21" s="4" t="s">
        <v>7</v>
      </c>
      <c r="D21" s="12">
        <v>2.649</v>
      </c>
      <c r="E21" s="12">
        <v>7</v>
      </c>
      <c r="F21" s="13">
        <f t="shared" si="0"/>
        <v>18.542999999999999</v>
      </c>
    </row>
    <row r="22" spans="1:6">
      <c r="A22" s="7">
        <v>0.37307870370370372</v>
      </c>
      <c r="B22" s="4" t="s">
        <v>14</v>
      </c>
      <c r="C22" s="4" t="s">
        <v>8</v>
      </c>
      <c r="D22" s="12">
        <v>2.65</v>
      </c>
      <c r="E22" s="12">
        <v>1</v>
      </c>
      <c r="F22" s="13">
        <f t="shared" si="0"/>
        <v>-2.65</v>
      </c>
    </row>
    <row r="23" spans="1:6" ht="15.75" customHeight="1">
      <c r="F23" s="14">
        <f>SUM(F2:F22)</f>
        <v>-1.7000000000025661E-2</v>
      </c>
    </row>
    <row r="24" spans="1:6">
      <c r="F24" s="11"/>
    </row>
    <row r="25" spans="1:6">
      <c r="F25" s="11"/>
    </row>
    <row r="26" spans="1:6">
      <c r="F26" s="11"/>
    </row>
    <row r="27" spans="1:6">
      <c r="F27" s="11"/>
    </row>
    <row r="28" spans="1:6" ht="12.75">
      <c r="F28" s="11"/>
    </row>
    <row r="29" spans="1:6" ht="12.75">
      <c r="F29" s="11"/>
    </row>
    <row r="30" spans="1:6" ht="12.75">
      <c r="F30" s="11"/>
    </row>
    <row r="31" spans="1:6" ht="12.75">
      <c r="F31" s="11"/>
    </row>
    <row r="32" spans="1:6" ht="12.75">
      <c r="F32" s="11"/>
    </row>
    <row r="33" spans="6:6" ht="12.75">
      <c r="F33" s="11"/>
    </row>
    <row r="34" spans="6:6" ht="12.75">
      <c r="F34" s="11"/>
    </row>
    <row r="35" spans="6:6" ht="12.75">
      <c r="F35" s="11"/>
    </row>
    <row r="36" spans="6:6" ht="12.75">
      <c r="F36" s="11"/>
    </row>
    <row r="37" spans="6:6" ht="12.75">
      <c r="F37" s="11"/>
    </row>
    <row r="38" spans="6:6" ht="12.75">
      <c r="F38" s="11"/>
    </row>
    <row r="39" spans="6:6" ht="12.75">
      <c r="F39" s="11"/>
    </row>
    <row r="40" spans="6:6" ht="12.75">
      <c r="F40" s="11"/>
    </row>
    <row r="41" spans="6:6" ht="12.75">
      <c r="F41" s="11"/>
    </row>
    <row r="42" spans="6:6" ht="12.75">
      <c r="F42" s="11"/>
    </row>
    <row r="43" spans="6:6" ht="12.75">
      <c r="F43" s="11"/>
    </row>
    <row r="44" spans="6:6" ht="12.75">
      <c r="F44" s="11"/>
    </row>
    <row r="45" spans="6:6" ht="12.75">
      <c r="F45" s="11"/>
    </row>
    <row r="46" spans="6:6" ht="12.75">
      <c r="F46" s="11"/>
    </row>
    <row r="47" spans="6:6" ht="12.75">
      <c r="F47" s="11"/>
    </row>
    <row r="48" spans="6:6" ht="12.75">
      <c r="F48" s="11"/>
    </row>
    <row r="49" spans="6:6" ht="12.75">
      <c r="F49" s="11"/>
    </row>
    <row r="50" spans="6:6" ht="12.75">
      <c r="F50" s="11"/>
    </row>
    <row r="51" spans="6:6" ht="12.75">
      <c r="F51" s="11"/>
    </row>
    <row r="52" spans="6:6" ht="12.75">
      <c r="F52" s="11"/>
    </row>
    <row r="53" spans="6:6" ht="12.75">
      <c r="F53" s="11"/>
    </row>
    <row r="54" spans="6:6" ht="12.75">
      <c r="F54" s="11"/>
    </row>
    <row r="55" spans="6:6" ht="12.75">
      <c r="F55" s="11"/>
    </row>
    <row r="56" spans="6:6" ht="12.75">
      <c r="F56" s="11"/>
    </row>
    <row r="57" spans="6:6" ht="12.75">
      <c r="F57" s="11"/>
    </row>
    <row r="58" spans="6:6" ht="12.75">
      <c r="F58" s="11"/>
    </row>
    <row r="59" spans="6:6" ht="12.75">
      <c r="F59" s="11"/>
    </row>
    <row r="60" spans="6:6" ht="12.75">
      <c r="F60" s="11"/>
    </row>
    <row r="61" spans="6:6" ht="12.75">
      <c r="F61" s="11"/>
    </row>
    <row r="62" spans="6:6" ht="12.75">
      <c r="F62" s="11"/>
    </row>
    <row r="63" spans="6:6" ht="12.75">
      <c r="F63" s="11"/>
    </row>
    <row r="64" spans="6:6" ht="12.75">
      <c r="F64" s="11"/>
    </row>
    <row r="65" spans="6:6" ht="12.75">
      <c r="F65" s="11"/>
    </row>
    <row r="66" spans="6:6" ht="12.75">
      <c r="F66" s="11"/>
    </row>
    <row r="67" spans="6:6" ht="12.75">
      <c r="F67" s="11"/>
    </row>
    <row r="68" spans="6:6" ht="12.75">
      <c r="F68" s="11"/>
    </row>
    <row r="69" spans="6:6" ht="12.75">
      <c r="F69" s="11"/>
    </row>
    <row r="70" spans="6:6" ht="12.75">
      <c r="F70" s="11"/>
    </row>
    <row r="71" spans="6:6" ht="12.75">
      <c r="F71" s="11"/>
    </row>
    <row r="72" spans="6:6" ht="12.75">
      <c r="F72" s="11"/>
    </row>
    <row r="73" spans="6:6" ht="12.75">
      <c r="F73" s="11"/>
    </row>
    <row r="74" spans="6:6" ht="12.75">
      <c r="F74" s="11"/>
    </row>
    <row r="75" spans="6:6" ht="12.75">
      <c r="F75" s="11"/>
    </row>
    <row r="76" spans="6:6" ht="12.75">
      <c r="F76" s="11"/>
    </row>
    <row r="77" spans="6:6" ht="12.75">
      <c r="F77" s="11"/>
    </row>
    <row r="78" spans="6:6" ht="12.75">
      <c r="F78" s="11"/>
    </row>
    <row r="79" spans="6:6" ht="12.75">
      <c r="F79" s="11"/>
    </row>
    <row r="80" spans="6:6" ht="12.75">
      <c r="F80" s="11"/>
    </row>
    <row r="81" spans="6:6" ht="12.75">
      <c r="F81" s="11"/>
    </row>
    <row r="82" spans="6:6" ht="12.75">
      <c r="F82" s="11"/>
    </row>
    <row r="83" spans="6:6" ht="12.75">
      <c r="F83" s="11"/>
    </row>
    <row r="84" spans="6:6" ht="12.75">
      <c r="F84" s="11"/>
    </row>
    <row r="85" spans="6:6" ht="12.75">
      <c r="F85" s="11"/>
    </row>
    <row r="86" spans="6:6" ht="12.75">
      <c r="F86" s="11"/>
    </row>
    <row r="87" spans="6:6" ht="12.75">
      <c r="F87" s="11"/>
    </row>
    <row r="88" spans="6:6" ht="12.75">
      <c r="F88" s="11"/>
    </row>
    <row r="89" spans="6:6" ht="12.75">
      <c r="F89" s="11"/>
    </row>
    <row r="90" spans="6:6" ht="12.75">
      <c r="F90" s="11"/>
    </row>
    <row r="91" spans="6:6" ht="12.75">
      <c r="F91" s="11"/>
    </row>
    <row r="92" spans="6:6" ht="12.75">
      <c r="F92" s="11"/>
    </row>
    <row r="93" spans="6:6" ht="12.75">
      <c r="F93" s="11"/>
    </row>
    <row r="94" spans="6:6" ht="12.75">
      <c r="F94" s="11"/>
    </row>
    <row r="95" spans="6:6" ht="12.75">
      <c r="F95" s="11"/>
    </row>
    <row r="96" spans="6:6" ht="12.75">
      <c r="F96" s="11"/>
    </row>
    <row r="97" spans="6:6" ht="12.75">
      <c r="F97" s="11"/>
    </row>
    <row r="98" spans="6:6" ht="12.75">
      <c r="F98" s="11"/>
    </row>
    <row r="99" spans="6:6" ht="12.75">
      <c r="F99" s="11"/>
    </row>
    <row r="100" spans="6:6" ht="12.75">
      <c r="F100" s="11"/>
    </row>
    <row r="101" spans="6:6" ht="12.75">
      <c r="F101" s="11"/>
    </row>
    <row r="102" spans="6:6" ht="12.75">
      <c r="F102" s="11"/>
    </row>
    <row r="103" spans="6:6" ht="12.75">
      <c r="F103" s="11"/>
    </row>
    <row r="104" spans="6:6" ht="12.75">
      <c r="F104" s="11"/>
    </row>
    <row r="105" spans="6:6" ht="12.75">
      <c r="F105" s="11"/>
    </row>
    <row r="106" spans="6:6" ht="12.75">
      <c r="F106" s="11"/>
    </row>
    <row r="107" spans="6:6" ht="12.75">
      <c r="F107" s="11"/>
    </row>
    <row r="108" spans="6:6" ht="12.75">
      <c r="F108" s="11"/>
    </row>
    <row r="109" spans="6:6" ht="12.75">
      <c r="F109" s="11"/>
    </row>
    <row r="110" spans="6:6" ht="12.75">
      <c r="F110" s="11"/>
    </row>
    <row r="111" spans="6:6" ht="12.75">
      <c r="F111" s="11"/>
    </row>
    <row r="112" spans="6:6" ht="12.75">
      <c r="F112" s="11"/>
    </row>
    <row r="113" spans="6:6" ht="12.75">
      <c r="F113" s="11"/>
    </row>
    <row r="114" spans="6:6" ht="12.75">
      <c r="F114" s="11"/>
    </row>
    <row r="115" spans="6:6" ht="12.75">
      <c r="F115" s="11"/>
    </row>
    <row r="116" spans="6:6" ht="12.75">
      <c r="F116" s="11"/>
    </row>
    <row r="117" spans="6:6" ht="12.75">
      <c r="F117" s="11"/>
    </row>
    <row r="118" spans="6:6" ht="12.75">
      <c r="F118" s="11"/>
    </row>
    <row r="119" spans="6:6" ht="12.75">
      <c r="F119" s="11"/>
    </row>
    <row r="120" spans="6:6" ht="12.75">
      <c r="F120" s="11"/>
    </row>
    <row r="121" spans="6:6" ht="12.75">
      <c r="F121" s="11"/>
    </row>
    <row r="122" spans="6:6" ht="12.75">
      <c r="F122" s="11"/>
    </row>
    <row r="123" spans="6:6" ht="12.75">
      <c r="F123" s="11"/>
    </row>
    <row r="124" spans="6:6" ht="12.75">
      <c r="F124" s="11"/>
    </row>
    <row r="125" spans="6:6" ht="12.75">
      <c r="F125" s="11"/>
    </row>
    <row r="126" spans="6:6" ht="12.75">
      <c r="F126" s="11"/>
    </row>
    <row r="127" spans="6:6" ht="12.75">
      <c r="F127" s="11"/>
    </row>
    <row r="128" spans="6:6" ht="12.75">
      <c r="F128" s="11"/>
    </row>
    <row r="129" spans="6:6" ht="12.75">
      <c r="F129" s="11"/>
    </row>
    <row r="130" spans="6:6" ht="12.75">
      <c r="F130" s="11"/>
    </row>
    <row r="131" spans="6:6" ht="12.75">
      <c r="F131" s="11"/>
    </row>
    <row r="132" spans="6:6" ht="12.75">
      <c r="F132" s="11"/>
    </row>
    <row r="133" spans="6:6" ht="12.75">
      <c r="F133" s="11"/>
    </row>
    <row r="134" spans="6:6" ht="12.75">
      <c r="F134" s="11"/>
    </row>
    <row r="135" spans="6:6" ht="12.75">
      <c r="F135" s="11"/>
    </row>
    <row r="136" spans="6:6" ht="12.75">
      <c r="F136" s="11"/>
    </row>
    <row r="137" spans="6:6" ht="12.75">
      <c r="F137" s="11"/>
    </row>
    <row r="138" spans="6:6" ht="12.75">
      <c r="F138" s="11"/>
    </row>
    <row r="139" spans="6:6" ht="12.75">
      <c r="F139" s="11"/>
    </row>
    <row r="140" spans="6:6" ht="12.75">
      <c r="F140" s="11"/>
    </row>
    <row r="141" spans="6:6" ht="12.75">
      <c r="F141" s="11"/>
    </row>
    <row r="142" spans="6:6" ht="12.75">
      <c r="F142" s="11"/>
    </row>
    <row r="143" spans="6:6" ht="12.75">
      <c r="F143" s="11"/>
    </row>
    <row r="144" spans="6:6" ht="12.75">
      <c r="F144" s="11"/>
    </row>
    <row r="145" spans="6:6" ht="12.75">
      <c r="F145" s="11"/>
    </row>
    <row r="146" spans="6:6" ht="12.75">
      <c r="F146" s="11"/>
    </row>
    <row r="147" spans="6:6" ht="12.75">
      <c r="F147" s="11"/>
    </row>
    <row r="148" spans="6:6" ht="12.75">
      <c r="F148" s="11"/>
    </row>
    <row r="149" spans="6:6" ht="12.75">
      <c r="F149" s="11"/>
    </row>
    <row r="150" spans="6:6" ht="12.75">
      <c r="F150" s="11"/>
    </row>
    <row r="151" spans="6:6" ht="12.75">
      <c r="F151" s="11"/>
    </row>
    <row r="152" spans="6:6" ht="12.75">
      <c r="F152" s="11"/>
    </row>
    <row r="153" spans="6:6" ht="12.75">
      <c r="F153" s="11"/>
    </row>
    <row r="154" spans="6:6" ht="12.75">
      <c r="F154" s="11"/>
    </row>
    <row r="155" spans="6:6" ht="12.75">
      <c r="F155" s="11"/>
    </row>
    <row r="156" spans="6:6" ht="12.75">
      <c r="F156" s="11"/>
    </row>
    <row r="157" spans="6:6" ht="12.75">
      <c r="F157" s="11"/>
    </row>
    <row r="158" spans="6:6" ht="12.75">
      <c r="F158" s="11"/>
    </row>
    <row r="159" spans="6:6" ht="12.75">
      <c r="F159" s="11"/>
    </row>
    <row r="160" spans="6:6" ht="12.75">
      <c r="F160" s="11"/>
    </row>
    <row r="161" spans="6:6" ht="12.75">
      <c r="F161" s="11"/>
    </row>
    <row r="162" spans="6:6" ht="12.75">
      <c r="F162" s="11"/>
    </row>
    <row r="163" spans="6:6" ht="12.75">
      <c r="F163" s="11"/>
    </row>
    <row r="164" spans="6:6" ht="12.75">
      <c r="F164" s="11"/>
    </row>
    <row r="165" spans="6:6" ht="12.75">
      <c r="F165" s="11"/>
    </row>
    <row r="166" spans="6:6" ht="12.75">
      <c r="F166" s="11"/>
    </row>
    <row r="167" spans="6:6" ht="12.75">
      <c r="F167" s="11"/>
    </row>
    <row r="168" spans="6:6" ht="12.75">
      <c r="F168" s="11"/>
    </row>
    <row r="169" spans="6:6" ht="12.75">
      <c r="F169" s="11"/>
    </row>
    <row r="170" spans="6:6" ht="12.75">
      <c r="F170" s="11"/>
    </row>
    <row r="171" spans="6:6" ht="12.75">
      <c r="F171" s="11"/>
    </row>
    <row r="172" spans="6:6" ht="12.75">
      <c r="F172" s="11"/>
    </row>
    <row r="173" spans="6:6" ht="12.75">
      <c r="F173" s="11"/>
    </row>
    <row r="174" spans="6:6" ht="12.75">
      <c r="F174" s="11"/>
    </row>
    <row r="175" spans="6:6" ht="12.75">
      <c r="F175" s="11"/>
    </row>
    <row r="176" spans="6:6" ht="12.75">
      <c r="F176" s="11"/>
    </row>
    <row r="177" spans="6:6" ht="12.75">
      <c r="F177" s="11"/>
    </row>
    <row r="178" spans="6:6" ht="12.75">
      <c r="F178" s="11"/>
    </row>
    <row r="179" spans="6:6" ht="12.75">
      <c r="F179" s="11"/>
    </row>
    <row r="180" spans="6:6" ht="12.75">
      <c r="F180" s="11"/>
    </row>
    <row r="181" spans="6:6" ht="12.75">
      <c r="F181" s="11"/>
    </row>
    <row r="182" spans="6:6" ht="12.75">
      <c r="F182" s="11"/>
    </row>
    <row r="183" spans="6:6" ht="12.75">
      <c r="F183" s="11"/>
    </row>
    <row r="184" spans="6:6" ht="12.75">
      <c r="F184" s="11"/>
    </row>
    <row r="185" spans="6:6" ht="12.75">
      <c r="F185" s="11"/>
    </row>
    <row r="186" spans="6:6" ht="12.75">
      <c r="F186" s="11"/>
    </row>
    <row r="187" spans="6:6" ht="12.75">
      <c r="F187" s="11"/>
    </row>
    <row r="188" spans="6:6" ht="12.75">
      <c r="F188" s="11"/>
    </row>
    <row r="189" spans="6:6" ht="12.75">
      <c r="F189" s="11"/>
    </row>
    <row r="190" spans="6:6" ht="12.75">
      <c r="F190" s="11"/>
    </row>
    <row r="191" spans="6:6" ht="12.75">
      <c r="F191" s="11"/>
    </row>
    <row r="192" spans="6:6" ht="12.75">
      <c r="F192" s="11"/>
    </row>
    <row r="193" spans="6:6" ht="12.75">
      <c r="F193" s="11"/>
    </row>
    <row r="194" spans="6:6" ht="12.75">
      <c r="F194" s="11"/>
    </row>
    <row r="195" spans="6:6" ht="12.75">
      <c r="F195" s="11"/>
    </row>
    <row r="196" spans="6:6" ht="12.75">
      <c r="F196" s="11"/>
    </row>
    <row r="197" spans="6:6" ht="12.75">
      <c r="F197" s="11"/>
    </row>
    <row r="198" spans="6:6" ht="12.75">
      <c r="F198" s="11"/>
    </row>
    <row r="199" spans="6:6" ht="12.75">
      <c r="F199" s="11"/>
    </row>
    <row r="200" spans="6:6" ht="12.75">
      <c r="F200" s="11"/>
    </row>
    <row r="201" spans="6:6" ht="12.75">
      <c r="F201" s="11"/>
    </row>
    <row r="202" spans="6:6" ht="12.75">
      <c r="F202" s="11"/>
    </row>
    <row r="203" spans="6:6" ht="12.75">
      <c r="F203" s="11"/>
    </row>
    <row r="204" spans="6:6" ht="12.75">
      <c r="F204" s="11"/>
    </row>
    <row r="205" spans="6:6" ht="12.75">
      <c r="F205" s="11"/>
    </row>
    <row r="206" spans="6:6" ht="12.75">
      <c r="F206" s="11"/>
    </row>
    <row r="207" spans="6:6" ht="12.75">
      <c r="F207" s="11"/>
    </row>
    <row r="208" spans="6:6" ht="12.75">
      <c r="F208" s="11"/>
    </row>
    <row r="209" spans="6:6" ht="12.75">
      <c r="F209" s="11"/>
    </row>
    <row r="210" spans="6:6" ht="12.75">
      <c r="F210" s="11"/>
    </row>
    <row r="211" spans="6:6" ht="12.75">
      <c r="F211" s="11"/>
    </row>
    <row r="212" spans="6:6" ht="12.75">
      <c r="F212" s="11"/>
    </row>
    <row r="213" spans="6:6" ht="12.75">
      <c r="F213" s="11"/>
    </row>
    <row r="214" spans="6:6" ht="12.75">
      <c r="F214" s="11"/>
    </row>
    <row r="215" spans="6:6" ht="12.75">
      <c r="F215" s="11"/>
    </row>
    <row r="216" spans="6:6" ht="12.75">
      <c r="F216" s="11"/>
    </row>
    <row r="217" spans="6:6" ht="12.75">
      <c r="F217" s="11"/>
    </row>
    <row r="218" spans="6:6" ht="12.75">
      <c r="F218" s="11"/>
    </row>
    <row r="219" spans="6:6" ht="12.75">
      <c r="F219" s="11"/>
    </row>
    <row r="220" spans="6:6" ht="12.75">
      <c r="F220" s="11"/>
    </row>
    <row r="221" spans="6:6" ht="12.75">
      <c r="F221" s="11"/>
    </row>
    <row r="222" spans="6:6" ht="12.75">
      <c r="F222" s="11"/>
    </row>
    <row r="223" spans="6:6" ht="12.75">
      <c r="F223" s="11"/>
    </row>
    <row r="224" spans="6:6" ht="12.75">
      <c r="F224" s="11"/>
    </row>
    <row r="225" spans="6:6" ht="12.75">
      <c r="F225" s="11"/>
    </row>
    <row r="226" spans="6:6" ht="12.75">
      <c r="F226" s="11"/>
    </row>
    <row r="227" spans="6:6" ht="12.75">
      <c r="F227" s="11"/>
    </row>
    <row r="228" spans="6:6" ht="12.75">
      <c r="F228" s="11"/>
    </row>
    <row r="229" spans="6:6" ht="12.75">
      <c r="F229" s="11"/>
    </row>
    <row r="230" spans="6:6" ht="12.75">
      <c r="F230" s="11"/>
    </row>
    <row r="231" spans="6:6" ht="12.75">
      <c r="F231" s="11"/>
    </row>
    <row r="232" spans="6:6" ht="12.75">
      <c r="F232" s="11"/>
    </row>
    <row r="233" spans="6:6" ht="12.75">
      <c r="F233" s="11"/>
    </row>
    <row r="234" spans="6:6" ht="12.75">
      <c r="F234" s="11"/>
    </row>
    <row r="235" spans="6:6" ht="12.75">
      <c r="F235" s="11"/>
    </row>
    <row r="236" spans="6:6" ht="12.75">
      <c r="F236" s="11"/>
    </row>
    <row r="237" spans="6:6" ht="12.75">
      <c r="F237" s="11"/>
    </row>
    <row r="238" spans="6:6" ht="12.75">
      <c r="F238" s="11"/>
    </row>
    <row r="239" spans="6:6" ht="12.75">
      <c r="F239" s="11"/>
    </row>
    <row r="240" spans="6:6" ht="12.75">
      <c r="F240" s="11"/>
    </row>
    <row r="241" spans="6:6" ht="12.75">
      <c r="F241" s="11"/>
    </row>
    <row r="242" spans="6:6" ht="12.75">
      <c r="F242" s="11"/>
    </row>
    <row r="243" spans="6:6" ht="12.75">
      <c r="F243" s="11"/>
    </row>
    <row r="244" spans="6:6" ht="12.75">
      <c r="F244" s="11"/>
    </row>
    <row r="245" spans="6:6" ht="12.75">
      <c r="F245" s="11"/>
    </row>
    <row r="246" spans="6:6" ht="12.75">
      <c r="F246" s="11"/>
    </row>
    <row r="247" spans="6:6" ht="12.75">
      <c r="F247" s="11"/>
    </row>
    <row r="248" spans="6:6" ht="12.75">
      <c r="F248" s="11"/>
    </row>
    <row r="249" spans="6:6" ht="12.75">
      <c r="F249" s="11"/>
    </row>
    <row r="250" spans="6:6" ht="12.75">
      <c r="F250" s="11"/>
    </row>
    <row r="251" spans="6:6" ht="12.75">
      <c r="F251" s="11"/>
    </row>
    <row r="252" spans="6:6" ht="12.75">
      <c r="F252" s="11"/>
    </row>
    <row r="253" spans="6:6" ht="12.75">
      <c r="F253" s="11"/>
    </row>
    <row r="254" spans="6:6" ht="12.75">
      <c r="F254" s="11"/>
    </row>
    <row r="255" spans="6:6" ht="12.75">
      <c r="F255" s="11"/>
    </row>
    <row r="256" spans="6:6" ht="12.75">
      <c r="F256" s="11"/>
    </row>
    <row r="257" spans="6:6" ht="12.75">
      <c r="F257" s="11"/>
    </row>
    <row r="258" spans="6:6" ht="12.75">
      <c r="F258" s="11"/>
    </row>
    <row r="259" spans="6:6" ht="12.75">
      <c r="F259" s="11"/>
    </row>
    <row r="260" spans="6:6" ht="12.75">
      <c r="F260" s="11"/>
    </row>
    <row r="261" spans="6:6" ht="12.75">
      <c r="F261" s="11"/>
    </row>
    <row r="262" spans="6:6" ht="12.75">
      <c r="F262" s="11"/>
    </row>
    <row r="263" spans="6:6" ht="12.75">
      <c r="F263" s="11"/>
    </row>
    <row r="264" spans="6:6" ht="12.75">
      <c r="F264" s="11"/>
    </row>
    <row r="265" spans="6:6" ht="12.75">
      <c r="F265" s="11"/>
    </row>
    <row r="266" spans="6:6" ht="12.75">
      <c r="F266" s="11"/>
    </row>
    <row r="267" spans="6:6" ht="12.75">
      <c r="F267" s="11"/>
    </row>
    <row r="268" spans="6:6" ht="12.75">
      <c r="F268" s="11"/>
    </row>
    <row r="269" spans="6:6" ht="12.75">
      <c r="F269" s="11"/>
    </row>
    <row r="270" spans="6:6" ht="12.75">
      <c r="F270" s="11"/>
    </row>
    <row r="271" spans="6:6" ht="12.75">
      <c r="F271" s="11"/>
    </row>
    <row r="272" spans="6:6" ht="12.75">
      <c r="F272" s="11"/>
    </row>
    <row r="273" spans="6:6" ht="12.75">
      <c r="F273" s="11"/>
    </row>
    <row r="274" spans="6:6" ht="12.75">
      <c r="F274" s="11"/>
    </row>
    <row r="275" spans="6:6" ht="12.75">
      <c r="F275" s="11"/>
    </row>
    <row r="276" spans="6:6" ht="12.75">
      <c r="F276" s="11"/>
    </row>
    <row r="277" spans="6:6" ht="12.75">
      <c r="F277" s="11"/>
    </row>
    <row r="278" spans="6:6" ht="12.75">
      <c r="F278" s="11"/>
    </row>
    <row r="279" spans="6:6" ht="12.75">
      <c r="F279" s="11"/>
    </row>
    <row r="280" spans="6:6" ht="12.75">
      <c r="F280" s="11"/>
    </row>
    <row r="281" spans="6:6" ht="12.75">
      <c r="F281" s="11"/>
    </row>
    <row r="282" spans="6:6" ht="12.75">
      <c r="F282" s="11"/>
    </row>
    <row r="283" spans="6:6" ht="12.75">
      <c r="F283" s="11"/>
    </row>
    <row r="284" spans="6:6" ht="12.75">
      <c r="F284" s="11"/>
    </row>
    <row r="285" spans="6:6" ht="12.75">
      <c r="F285" s="11"/>
    </row>
    <row r="286" spans="6:6" ht="12.75">
      <c r="F286" s="11"/>
    </row>
    <row r="287" spans="6:6" ht="12.75">
      <c r="F287" s="11"/>
    </row>
    <row r="288" spans="6:6" ht="12.75">
      <c r="F288" s="11"/>
    </row>
    <row r="289" spans="6:6" ht="12.75">
      <c r="F289" s="11"/>
    </row>
    <row r="290" spans="6:6" ht="12.75">
      <c r="F290" s="11"/>
    </row>
    <row r="291" spans="6:6" ht="12.75">
      <c r="F291" s="11"/>
    </row>
    <row r="292" spans="6:6" ht="12.75">
      <c r="F292" s="11"/>
    </row>
    <row r="293" spans="6:6" ht="12.75">
      <c r="F293" s="11"/>
    </row>
    <row r="294" spans="6:6" ht="12.75">
      <c r="F294" s="11"/>
    </row>
    <row r="295" spans="6:6" ht="12.75">
      <c r="F295" s="11"/>
    </row>
    <row r="296" spans="6:6" ht="12.75">
      <c r="F296" s="11"/>
    </row>
    <row r="297" spans="6:6" ht="12.75">
      <c r="F297" s="11"/>
    </row>
    <row r="298" spans="6:6" ht="12.75">
      <c r="F298" s="11"/>
    </row>
    <row r="299" spans="6:6" ht="12.75">
      <c r="F299" s="11"/>
    </row>
    <row r="300" spans="6:6" ht="12.75">
      <c r="F300" s="11"/>
    </row>
    <row r="301" spans="6:6" ht="12.75">
      <c r="F301" s="11"/>
    </row>
    <row r="302" spans="6:6" ht="12.75">
      <c r="F302" s="11"/>
    </row>
    <row r="303" spans="6:6" ht="12.75">
      <c r="F303" s="11"/>
    </row>
    <row r="304" spans="6:6" ht="12.75">
      <c r="F304" s="11"/>
    </row>
    <row r="305" spans="6:6" ht="12.75">
      <c r="F305" s="11"/>
    </row>
    <row r="306" spans="6:6" ht="12.75">
      <c r="F306" s="11"/>
    </row>
    <row r="307" spans="6:6" ht="12.75">
      <c r="F307" s="11"/>
    </row>
    <row r="308" spans="6:6" ht="12.75">
      <c r="F308" s="11"/>
    </row>
    <row r="309" spans="6:6" ht="12.75">
      <c r="F309" s="11"/>
    </row>
    <row r="310" spans="6:6" ht="12.75">
      <c r="F310" s="11"/>
    </row>
    <row r="311" spans="6:6" ht="12.75">
      <c r="F311" s="11"/>
    </row>
    <row r="312" spans="6:6" ht="12.75">
      <c r="F312" s="11"/>
    </row>
    <row r="313" spans="6:6" ht="12.75">
      <c r="F313" s="11"/>
    </row>
    <row r="314" spans="6:6" ht="12.75">
      <c r="F314" s="11"/>
    </row>
    <row r="315" spans="6:6" ht="12.75">
      <c r="F315" s="11"/>
    </row>
    <row r="316" spans="6:6" ht="12.75">
      <c r="F316" s="11"/>
    </row>
    <row r="317" spans="6:6" ht="12.75">
      <c r="F317" s="11"/>
    </row>
    <row r="318" spans="6:6" ht="12.75">
      <c r="F318" s="11"/>
    </row>
    <row r="319" spans="6:6" ht="12.75">
      <c r="F319" s="11"/>
    </row>
    <row r="320" spans="6:6" ht="12.75">
      <c r="F320" s="11"/>
    </row>
    <row r="321" spans="6:6" ht="12.75">
      <c r="F321" s="11"/>
    </row>
    <row r="322" spans="6:6" ht="12.75">
      <c r="F322" s="11"/>
    </row>
    <row r="323" spans="6:6" ht="12.75">
      <c r="F323" s="11"/>
    </row>
    <row r="324" spans="6:6" ht="12.75">
      <c r="F324" s="11"/>
    </row>
    <row r="325" spans="6:6" ht="12.75">
      <c r="F325" s="11"/>
    </row>
    <row r="326" spans="6:6" ht="12.75">
      <c r="F326" s="11"/>
    </row>
    <row r="327" spans="6:6" ht="12.75">
      <c r="F327" s="11"/>
    </row>
    <row r="328" spans="6:6" ht="12.75">
      <c r="F328" s="11"/>
    </row>
    <row r="329" spans="6:6" ht="12.75">
      <c r="F329" s="11"/>
    </row>
    <row r="330" spans="6:6" ht="12.75">
      <c r="F330" s="11"/>
    </row>
    <row r="331" spans="6:6" ht="12.75">
      <c r="F331" s="11"/>
    </row>
    <row r="332" spans="6:6" ht="12.75">
      <c r="F332" s="11"/>
    </row>
    <row r="333" spans="6:6" ht="12.75">
      <c r="F333" s="11"/>
    </row>
    <row r="334" spans="6:6" ht="12.75">
      <c r="F334" s="11"/>
    </row>
    <row r="335" spans="6:6" ht="12.75">
      <c r="F335" s="11"/>
    </row>
    <row r="336" spans="6:6" ht="12.75">
      <c r="F336" s="11"/>
    </row>
    <row r="337" spans="6:6" ht="12.75">
      <c r="F337" s="11"/>
    </row>
    <row r="338" spans="6:6" ht="12.75">
      <c r="F338" s="11"/>
    </row>
    <row r="339" spans="6:6" ht="12.75">
      <c r="F339" s="11"/>
    </row>
    <row r="340" spans="6:6" ht="12.75">
      <c r="F340" s="11"/>
    </row>
    <row r="341" spans="6:6" ht="12.75">
      <c r="F341" s="11"/>
    </row>
    <row r="342" spans="6:6" ht="12.75">
      <c r="F342" s="11"/>
    </row>
    <row r="343" spans="6:6" ht="12.75">
      <c r="F343" s="11"/>
    </row>
    <row r="344" spans="6:6" ht="12.75">
      <c r="F344" s="11"/>
    </row>
    <row r="345" spans="6:6" ht="12.75">
      <c r="F345" s="11"/>
    </row>
    <row r="346" spans="6:6" ht="12.75">
      <c r="F346" s="11"/>
    </row>
    <row r="347" spans="6:6" ht="12.75">
      <c r="F347" s="11"/>
    </row>
    <row r="348" spans="6:6" ht="12.75">
      <c r="F348" s="11"/>
    </row>
    <row r="349" spans="6:6" ht="12.75">
      <c r="F349" s="11"/>
    </row>
    <row r="350" spans="6:6" ht="12.75">
      <c r="F350" s="11"/>
    </row>
    <row r="351" spans="6:6" ht="12.75">
      <c r="F351" s="11"/>
    </row>
    <row r="352" spans="6:6" ht="12.75">
      <c r="F352" s="11"/>
    </row>
    <row r="353" spans="6:6" ht="12.75">
      <c r="F353" s="11"/>
    </row>
    <row r="354" spans="6:6" ht="12.75">
      <c r="F354" s="11"/>
    </row>
    <row r="355" spans="6:6" ht="12.75">
      <c r="F355" s="11"/>
    </row>
    <row r="356" spans="6:6" ht="12.75">
      <c r="F356" s="11"/>
    </row>
    <row r="357" spans="6:6" ht="12.75">
      <c r="F357" s="11"/>
    </row>
    <row r="358" spans="6:6" ht="12.75">
      <c r="F358" s="11"/>
    </row>
    <row r="359" spans="6:6" ht="12.75">
      <c r="F359" s="11"/>
    </row>
    <row r="360" spans="6:6" ht="12.75">
      <c r="F360" s="11"/>
    </row>
    <row r="361" spans="6:6" ht="12.75">
      <c r="F361" s="11"/>
    </row>
    <row r="362" spans="6:6" ht="12.75">
      <c r="F362" s="11"/>
    </row>
    <row r="363" spans="6:6" ht="12.75">
      <c r="F363" s="11"/>
    </row>
    <row r="364" spans="6:6" ht="12.75">
      <c r="F364" s="11"/>
    </row>
    <row r="365" spans="6:6" ht="12.75">
      <c r="F365" s="11"/>
    </row>
    <row r="366" spans="6:6" ht="12.75">
      <c r="F366" s="11"/>
    </row>
    <row r="367" spans="6:6" ht="12.75">
      <c r="F367" s="11"/>
    </row>
    <row r="368" spans="6:6" ht="12.75">
      <c r="F368" s="11"/>
    </row>
    <row r="369" spans="6:6" ht="12.75">
      <c r="F369" s="11"/>
    </row>
    <row r="370" spans="6:6" ht="12.75">
      <c r="F370" s="11"/>
    </row>
    <row r="371" spans="6:6" ht="12.75">
      <c r="F371" s="11"/>
    </row>
    <row r="372" spans="6:6" ht="12.75">
      <c r="F372" s="11"/>
    </row>
    <row r="373" spans="6:6" ht="12.75">
      <c r="F373" s="11"/>
    </row>
    <row r="374" spans="6:6" ht="12.75">
      <c r="F374" s="11"/>
    </row>
    <row r="375" spans="6:6" ht="12.75">
      <c r="F375" s="11"/>
    </row>
    <row r="376" spans="6:6" ht="12.75">
      <c r="F376" s="11"/>
    </row>
    <row r="377" spans="6:6" ht="12.75">
      <c r="F377" s="11"/>
    </row>
    <row r="378" spans="6:6" ht="12.75">
      <c r="F378" s="11"/>
    </row>
    <row r="379" spans="6:6" ht="12.75">
      <c r="F379" s="11"/>
    </row>
    <row r="380" spans="6:6" ht="12.75">
      <c r="F380" s="11"/>
    </row>
    <row r="381" spans="6:6" ht="12.75">
      <c r="F381" s="11"/>
    </row>
    <row r="382" spans="6:6" ht="12.75">
      <c r="F382" s="11"/>
    </row>
    <row r="383" spans="6:6" ht="12.75">
      <c r="F383" s="11"/>
    </row>
    <row r="384" spans="6:6" ht="12.75">
      <c r="F384" s="11"/>
    </row>
    <row r="385" spans="6:6" ht="12.75">
      <c r="F385" s="11"/>
    </row>
    <row r="386" spans="6:6" ht="12.75">
      <c r="F386" s="11"/>
    </row>
    <row r="387" spans="6:6" ht="12.75">
      <c r="F387" s="11"/>
    </row>
    <row r="388" spans="6:6" ht="12.75">
      <c r="F388" s="11"/>
    </row>
    <row r="389" spans="6:6" ht="12.75">
      <c r="F389" s="11"/>
    </row>
    <row r="390" spans="6:6" ht="12.75">
      <c r="F390" s="11"/>
    </row>
    <row r="391" spans="6:6" ht="12.75">
      <c r="F391" s="11"/>
    </row>
    <row r="392" spans="6:6" ht="12.75">
      <c r="F392" s="11"/>
    </row>
    <row r="393" spans="6:6" ht="12.75">
      <c r="F393" s="11"/>
    </row>
    <row r="394" spans="6:6" ht="12.75">
      <c r="F394" s="11"/>
    </row>
    <row r="395" spans="6:6" ht="12.75">
      <c r="F395" s="11"/>
    </row>
    <row r="396" spans="6:6" ht="12.75">
      <c r="F396" s="11"/>
    </row>
    <row r="397" spans="6:6" ht="12.75">
      <c r="F397" s="11"/>
    </row>
    <row r="398" spans="6:6" ht="12.75">
      <c r="F398" s="11"/>
    </row>
    <row r="399" spans="6:6" ht="12.75">
      <c r="F399" s="11"/>
    </row>
    <row r="400" spans="6:6" ht="12.75">
      <c r="F400" s="11"/>
    </row>
    <row r="401" spans="6:6" ht="12.75">
      <c r="F401" s="11"/>
    </row>
    <row r="402" spans="6:6" ht="12.75">
      <c r="F402" s="11"/>
    </row>
    <row r="403" spans="6:6" ht="12.75">
      <c r="F403" s="11"/>
    </row>
    <row r="404" spans="6:6" ht="12.75">
      <c r="F404" s="11"/>
    </row>
    <row r="405" spans="6:6" ht="12.75">
      <c r="F405" s="11"/>
    </row>
    <row r="406" spans="6:6" ht="12.75">
      <c r="F406" s="11"/>
    </row>
    <row r="407" spans="6:6" ht="12.75">
      <c r="F407" s="11"/>
    </row>
    <row r="408" spans="6:6" ht="12.75">
      <c r="F408" s="11"/>
    </row>
    <row r="409" spans="6:6" ht="12.75">
      <c r="F409" s="11"/>
    </row>
    <row r="410" spans="6:6" ht="12.75">
      <c r="F410" s="11"/>
    </row>
    <row r="411" spans="6:6" ht="12.75">
      <c r="F411" s="11"/>
    </row>
    <row r="412" spans="6:6" ht="12.75">
      <c r="F412" s="11"/>
    </row>
    <row r="413" spans="6:6" ht="12.75">
      <c r="F413" s="11"/>
    </row>
    <row r="414" spans="6:6" ht="12.75">
      <c r="F414" s="11"/>
    </row>
    <row r="415" spans="6:6" ht="12.75">
      <c r="F415" s="11"/>
    </row>
    <row r="416" spans="6:6" ht="12.75">
      <c r="F416" s="11"/>
    </row>
    <row r="417" spans="6:6" ht="12.75">
      <c r="F417" s="11"/>
    </row>
    <row r="418" spans="6:6" ht="12.75">
      <c r="F418" s="11"/>
    </row>
    <row r="419" spans="6:6" ht="12.75">
      <c r="F419" s="11"/>
    </row>
    <row r="420" spans="6:6" ht="12.75">
      <c r="F420" s="11"/>
    </row>
    <row r="421" spans="6:6" ht="12.75">
      <c r="F421" s="11"/>
    </row>
    <row r="422" spans="6:6" ht="12.75">
      <c r="F422" s="11"/>
    </row>
    <row r="423" spans="6:6" ht="12.75">
      <c r="F423" s="11"/>
    </row>
    <row r="424" spans="6:6" ht="12.75">
      <c r="F424" s="11"/>
    </row>
    <row r="425" spans="6:6" ht="12.75">
      <c r="F425" s="11"/>
    </row>
    <row r="426" spans="6:6" ht="12.75">
      <c r="F426" s="11"/>
    </row>
    <row r="427" spans="6:6" ht="12.75">
      <c r="F427" s="11"/>
    </row>
    <row r="428" spans="6:6" ht="12.75">
      <c r="F428" s="11"/>
    </row>
    <row r="429" spans="6:6" ht="12.75">
      <c r="F429" s="11"/>
    </row>
    <row r="430" spans="6:6" ht="12.75">
      <c r="F430" s="11"/>
    </row>
    <row r="431" spans="6:6" ht="12.75">
      <c r="F431" s="11"/>
    </row>
    <row r="432" spans="6:6" ht="12.75">
      <c r="F432" s="11"/>
    </row>
    <row r="433" spans="6:6" ht="12.75">
      <c r="F433" s="11"/>
    </row>
    <row r="434" spans="6:6" ht="12.75">
      <c r="F434" s="11"/>
    </row>
    <row r="435" spans="6:6" ht="12.75">
      <c r="F435" s="11"/>
    </row>
    <row r="436" spans="6:6" ht="12.75">
      <c r="F436" s="11"/>
    </row>
    <row r="437" spans="6:6" ht="12.75">
      <c r="F437" s="11"/>
    </row>
    <row r="438" spans="6:6" ht="12.75">
      <c r="F438" s="11"/>
    </row>
    <row r="439" spans="6:6" ht="12.75">
      <c r="F439" s="11"/>
    </row>
    <row r="440" spans="6:6" ht="12.75">
      <c r="F440" s="11"/>
    </row>
    <row r="441" spans="6:6" ht="12.75">
      <c r="F441" s="11"/>
    </row>
    <row r="442" spans="6:6" ht="12.75">
      <c r="F442" s="11"/>
    </row>
    <row r="443" spans="6:6" ht="12.75">
      <c r="F443" s="11"/>
    </row>
    <row r="444" spans="6:6" ht="12.75">
      <c r="F444" s="11"/>
    </row>
    <row r="445" spans="6:6" ht="12.75">
      <c r="F445" s="11"/>
    </row>
    <row r="446" spans="6:6" ht="12.75">
      <c r="F446" s="11"/>
    </row>
    <row r="447" spans="6:6" ht="12.75">
      <c r="F447" s="11"/>
    </row>
    <row r="448" spans="6:6" ht="12.75">
      <c r="F448" s="11"/>
    </row>
    <row r="449" spans="6:6" ht="12.75">
      <c r="F449" s="11"/>
    </row>
    <row r="450" spans="6:6" ht="12.75">
      <c r="F450" s="11"/>
    </row>
    <row r="451" spans="6:6" ht="12.75">
      <c r="F451" s="11"/>
    </row>
    <row r="452" spans="6:6" ht="12.75">
      <c r="F452" s="11"/>
    </row>
    <row r="453" spans="6:6" ht="12.75">
      <c r="F453" s="11"/>
    </row>
    <row r="454" spans="6:6" ht="12.75">
      <c r="F454" s="11"/>
    </row>
    <row r="455" spans="6:6" ht="12.75">
      <c r="F455" s="11"/>
    </row>
    <row r="456" spans="6:6" ht="12.75">
      <c r="F456" s="11"/>
    </row>
    <row r="457" spans="6:6" ht="12.75">
      <c r="F457" s="11"/>
    </row>
    <row r="458" spans="6:6" ht="12.75">
      <c r="F458" s="11"/>
    </row>
    <row r="459" spans="6:6" ht="12.75">
      <c r="F459" s="11"/>
    </row>
    <row r="460" spans="6:6" ht="12.75">
      <c r="F460" s="11"/>
    </row>
    <row r="461" spans="6:6" ht="12.75">
      <c r="F461" s="11"/>
    </row>
    <row r="462" spans="6:6" ht="12.75">
      <c r="F462" s="11"/>
    </row>
    <row r="463" spans="6:6" ht="12.75">
      <c r="F463" s="11"/>
    </row>
    <row r="464" spans="6:6" ht="12.75">
      <c r="F464" s="11"/>
    </row>
    <row r="465" spans="6:6" ht="12.75">
      <c r="F465" s="11"/>
    </row>
    <row r="466" spans="6:6" ht="12.75">
      <c r="F466" s="11"/>
    </row>
    <row r="467" spans="6:6" ht="12.75">
      <c r="F467" s="11"/>
    </row>
    <row r="468" spans="6:6" ht="12.75">
      <c r="F468" s="11"/>
    </row>
    <row r="469" spans="6:6" ht="12.75">
      <c r="F469" s="11"/>
    </row>
    <row r="470" spans="6:6" ht="12.75">
      <c r="F470" s="11"/>
    </row>
    <row r="471" spans="6:6" ht="12.75">
      <c r="F471" s="11"/>
    </row>
    <row r="472" spans="6:6" ht="12.75">
      <c r="F472" s="11"/>
    </row>
    <row r="473" spans="6:6" ht="12.75">
      <c r="F473" s="11"/>
    </row>
    <row r="474" spans="6:6" ht="12.75">
      <c r="F474" s="11"/>
    </row>
    <row r="475" spans="6:6" ht="12.75">
      <c r="F475" s="11"/>
    </row>
    <row r="476" spans="6:6" ht="12.75">
      <c r="F476" s="11"/>
    </row>
    <row r="477" spans="6:6" ht="12.75">
      <c r="F477" s="11"/>
    </row>
    <row r="478" spans="6:6" ht="12.75">
      <c r="F478" s="11"/>
    </row>
    <row r="479" spans="6:6" ht="12.75">
      <c r="F479" s="11"/>
    </row>
    <row r="480" spans="6:6" ht="12.75">
      <c r="F480" s="11"/>
    </row>
    <row r="481" spans="6:6" ht="12.75">
      <c r="F481" s="11"/>
    </row>
    <row r="482" spans="6:6" ht="12.75">
      <c r="F482" s="11"/>
    </row>
    <row r="483" spans="6:6" ht="12.75">
      <c r="F483" s="11"/>
    </row>
    <row r="484" spans="6:6" ht="12.75">
      <c r="F484" s="11"/>
    </row>
    <row r="485" spans="6:6" ht="12.75">
      <c r="F485" s="11"/>
    </row>
    <row r="486" spans="6:6" ht="12.75">
      <c r="F486" s="11"/>
    </row>
    <row r="487" spans="6:6" ht="12.75">
      <c r="F487" s="11"/>
    </row>
    <row r="488" spans="6:6" ht="12.75">
      <c r="F488" s="11"/>
    </row>
    <row r="489" spans="6:6" ht="12.75">
      <c r="F489" s="11"/>
    </row>
    <row r="490" spans="6:6" ht="12.75">
      <c r="F490" s="11"/>
    </row>
    <row r="491" spans="6:6" ht="12.75">
      <c r="F491" s="11"/>
    </row>
    <row r="492" spans="6:6" ht="12.75">
      <c r="F492" s="11"/>
    </row>
    <row r="493" spans="6:6" ht="12.75">
      <c r="F493" s="11"/>
    </row>
    <row r="494" spans="6:6" ht="12.75">
      <c r="F494" s="11"/>
    </row>
    <row r="495" spans="6:6" ht="12.75">
      <c r="F495" s="11"/>
    </row>
    <row r="496" spans="6:6" ht="12.75">
      <c r="F496" s="11"/>
    </row>
    <row r="497" spans="6:6" ht="12.75">
      <c r="F497" s="11"/>
    </row>
    <row r="498" spans="6:6" ht="12.75">
      <c r="F498" s="11"/>
    </row>
    <row r="499" spans="6:6" ht="12.75">
      <c r="F499" s="11"/>
    </row>
    <row r="500" spans="6:6" ht="12.75">
      <c r="F500" s="11"/>
    </row>
    <row r="501" spans="6:6" ht="12.75">
      <c r="F501" s="11"/>
    </row>
    <row r="502" spans="6:6" ht="12.75">
      <c r="F502" s="11"/>
    </row>
    <row r="503" spans="6:6" ht="12.75">
      <c r="F503" s="11"/>
    </row>
    <row r="504" spans="6:6" ht="12.75">
      <c r="F504" s="11"/>
    </row>
    <row r="505" spans="6:6" ht="12.75">
      <c r="F505" s="11"/>
    </row>
    <row r="506" spans="6:6" ht="12.75">
      <c r="F506" s="11"/>
    </row>
    <row r="507" spans="6:6" ht="12.75">
      <c r="F507" s="11"/>
    </row>
    <row r="508" spans="6:6" ht="12.75">
      <c r="F508" s="11"/>
    </row>
    <row r="509" spans="6:6" ht="12.75">
      <c r="F509" s="11"/>
    </row>
    <row r="510" spans="6:6" ht="12.75">
      <c r="F510" s="11"/>
    </row>
    <row r="511" spans="6:6" ht="12.75">
      <c r="F511" s="11"/>
    </row>
    <row r="512" spans="6:6" ht="12.75">
      <c r="F512" s="11"/>
    </row>
    <row r="513" spans="6:6" ht="12.75">
      <c r="F513" s="11"/>
    </row>
    <row r="514" spans="6:6" ht="12.75">
      <c r="F514" s="11"/>
    </row>
    <row r="515" spans="6:6" ht="12.75">
      <c r="F515" s="11"/>
    </row>
    <row r="516" spans="6:6" ht="12.75">
      <c r="F516" s="11"/>
    </row>
    <row r="517" spans="6:6" ht="12.75">
      <c r="F517" s="11"/>
    </row>
    <row r="518" spans="6:6" ht="12.75">
      <c r="F518" s="11"/>
    </row>
    <row r="519" spans="6:6" ht="12.75">
      <c r="F519" s="11"/>
    </row>
    <row r="520" spans="6:6" ht="12.75">
      <c r="F520" s="11"/>
    </row>
    <row r="521" spans="6:6" ht="12.75">
      <c r="F521" s="11"/>
    </row>
    <row r="522" spans="6:6" ht="12.75">
      <c r="F522" s="11"/>
    </row>
    <row r="523" spans="6:6" ht="12.75">
      <c r="F523" s="11"/>
    </row>
    <row r="524" spans="6:6" ht="12.75">
      <c r="F524" s="11"/>
    </row>
    <row r="525" spans="6:6" ht="12.75">
      <c r="F525" s="11"/>
    </row>
    <row r="526" spans="6:6" ht="12.75">
      <c r="F526" s="11"/>
    </row>
    <row r="527" spans="6:6" ht="12.75">
      <c r="F527" s="11"/>
    </row>
    <row r="528" spans="6:6" ht="12.75">
      <c r="F528" s="11"/>
    </row>
    <row r="529" spans="6:6" ht="12.75">
      <c r="F529" s="11"/>
    </row>
    <row r="530" spans="6:6" ht="12.75">
      <c r="F530" s="11"/>
    </row>
    <row r="531" spans="6:6" ht="12.75">
      <c r="F531" s="11"/>
    </row>
    <row r="532" spans="6:6" ht="12.75">
      <c r="F532" s="11"/>
    </row>
    <row r="533" spans="6:6" ht="12.75">
      <c r="F533" s="11"/>
    </row>
    <row r="534" spans="6:6" ht="12.75">
      <c r="F534" s="11"/>
    </row>
    <row r="535" spans="6:6" ht="12.75">
      <c r="F535" s="11"/>
    </row>
    <row r="536" spans="6:6" ht="12.75">
      <c r="F536" s="11"/>
    </row>
    <row r="537" spans="6:6" ht="12.75">
      <c r="F537" s="11"/>
    </row>
    <row r="538" spans="6:6" ht="12.75">
      <c r="F538" s="11"/>
    </row>
    <row r="539" spans="6:6" ht="12.75">
      <c r="F539" s="11"/>
    </row>
    <row r="540" spans="6:6" ht="12.75">
      <c r="F540" s="11"/>
    </row>
    <row r="541" spans="6:6" ht="12.75">
      <c r="F541" s="11"/>
    </row>
    <row r="542" spans="6:6" ht="12.75">
      <c r="F542" s="11"/>
    </row>
    <row r="543" spans="6:6" ht="12.75">
      <c r="F543" s="11"/>
    </row>
    <row r="544" spans="6:6" ht="12.75">
      <c r="F544" s="11"/>
    </row>
    <row r="545" spans="6:6" ht="12.75">
      <c r="F545" s="11"/>
    </row>
    <row r="546" spans="6:6" ht="12.75">
      <c r="F546" s="11"/>
    </row>
    <row r="547" spans="6:6" ht="12.75">
      <c r="F547" s="11"/>
    </row>
    <row r="548" spans="6:6" ht="12.75">
      <c r="F548" s="11"/>
    </row>
    <row r="549" spans="6:6" ht="12.75">
      <c r="F549" s="11"/>
    </row>
    <row r="550" spans="6:6" ht="12.75">
      <c r="F550" s="11"/>
    </row>
    <row r="551" spans="6:6" ht="12.75">
      <c r="F551" s="11"/>
    </row>
    <row r="552" spans="6:6" ht="12.75">
      <c r="F552" s="11"/>
    </row>
    <row r="553" spans="6:6" ht="12.75">
      <c r="F553" s="11"/>
    </row>
    <row r="554" spans="6:6" ht="12.75">
      <c r="F554" s="11"/>
    </row>
    <row r="555" spans="6:6" ht="12.75">
      <c r="F555" s="11"/>
    </row>
    <row r="556" spans="6:6" ht="12.75">
      <c r="F556" s="11"/>
    </row>
    <row r="557" spans="6:6" ht="12.75">
      <c r="F557" s="11"/>
    </row>
    <row r="558" spans="6:6" ht="12.75">
      <c r="F558" s="11"/>
    </row>
    <row r="559" spans="6:6" ht="12.75">
      <c r="F559" s="11"/>
    </row>
    <row r="560" spans="6:6" ht="12.75">
      <c r="F560" s="11"/>
    </row>
    <row r="561" spans="6:6" ht="12.75">
      <c r="F561" s="11"/>
    </row>
    <row r="562" spans="6:6" ht="12.75">
      <c r="F562" s="11"/>
    </row>
    <row r="563" spans="6:6" ht="12.75">
      <c r="F563" s="11"/>
    </row>
    <row r="564" spans="6:6" ht="12.75">
      <c r="F564" s="11"/>
    </row>
    <row r="565" spans="6:6" ht="12.75">
      <c r="F565" s="11"/>
    </row>
    <row r="566" spans="6:6" ht="12.75">
      <c r="F566" s="11"/>
    </row>
    <row r="567" spans="6:6" ht="12.75">
      <c r="F567" s="11"/>
    </row>
    <row r="568" spans="6:6" ht="12.75">
      <c r="F568" s="11"/>
    </row>
    <row r="569" spans="6:6" ht="12.75">
      <c r="F569" s="11"/>
    </row>
    <row r="570" spans="6:6" ht="12.75">
      <c r="F570" s="11"/>
    </row>
    <row r="571" spans="6:6" ht="12.75">
      <c r="F571" s="11"/>
    </row>
    <row r="572" spans="6:6" ht="12.75">
      <c r="F572" s="11"/>
    </row>
    <row r="573" spans="6:6" ht="12.75">
      <c r="F573" s="11"/>
    </row>
    <row r="574" spans="6:6" ht="12.75">
      <c r="F574" s="11"/>
    </row>
    <row r="575" spans="6:6" ht="12.75">
      <c r="F575" s="11"/>
    </row>
    <row r="576" spans="6:6" ht="12.75">
      <c r="F576" s="11"/>
    </row>
    <row r="577" spans="6:6" ht="12.75">
      <c r="F577" s="11"/>
    </row>
    <row r="578" spans="6:6" ht="12.75">
      <c r="F578" s="11"/>
    </row>
    <row r="579" spans="6:6" ht="12.75">
      <c r="F579" s="11"/>
    </row>
    <row r="580" spans="6:6" ht="12.75">
      <c r="F580" s="11"/>
    </row>
    <row r="581" spans="6:6" ht="12.75">
      <c r="F581" s="11"/>
    </row>
    <row r="582" spans="6:6" ht="12.75">
      <c r="F582" s="11"/>
    </row>
    <row r="583" spans="6:6" ht="12.75">
      <c r="F583" s="11"/>
    </row>
    <row r="584" spans="6:6" ht="12.75">
      <c r="F584" s="11"/>
    </row>
    <row r="585" spans="6:6" ht="12.75">
      <c r="F585" s="11"/>
    </row>
    <row r="586" spans="6:6" ht="12.75">
      <c r="F586" s="11"/>
    </row>
    <row r="587" spans="6:6" ht="12.75">
      <c r="F587" s="11"/>
    </row>
    <row r="588" spans="6:6" ht="12.75">
      <c r="F588" s="11"/>
    </row>
    <row r="589" spans="6:6" ht="12.75">
      <c r="F589" s="11"/>
    </row>
    <row r="590" spans="6:6" ht="12.75">
      <c r="F590" s="11"/>
    </row>
    <row r="591" spans="6:6" ht="12.75">
      <c r="F591" s="11"/>
    </row>
    <row r="592" spans="6:6" ht="12.75">
      <c r="F592" s="11"/>
    </row>
    <row r="593" spans="6:6" ht="12.75">
      <c r="F593" s="11"/>
    </row>
    <row r="594" spans="6:6" ht="12.75">
      <c r="F594" s="11"/>
    </row>
    <row r="595" spans="6:6" ht="12.75">
      <c r="F595" s="11"/>
    </row>
    <row r="596" spans="6:6" ht="12.75">
      <c r="F596" s="11"/>
    </row>
    <row r="597" spans="6:6" ht="12.75">
      <c r="F597" s="11"/>
    </row>
    <row r="598" spans="6:6" ht="12.75">
      <c r="F598" s="11"/>
    </row>
    <row r="599" spans="6:6" ht="12.75">
      <c r="F599" s="11"/>
    </row>
    <row r="600" spans="6:6" ht="12.75">
      <c r="F600" s="11"/>
    </row>
    <row r="601" spans="6:6" ht="12.75">
      <c r="F601" s="11"/>
    </row>
    <row r="602" spans="6:6" ht="12.75">
      <c r="F602" s="11"/>
    </row>
    <row r="603" spans="6:6" ht="12.75">
      <c r="F603" s="11"/>
    </row>
    <row r="604" spans="6:6" ht="12.75">
      <c r="F604" s="11"/>
    </row>
    <row r="605" spans="6:6" ht="12.75">
      <c r="F605" s="11"/>
    </row>
    <row r="606" spans="6:6" ht="12.75">
      <c r="F606" s="11"/>
    </row>
    <row r="607" spans="6:6" ht="12.75">
      <c r="F607" s="11"/>
    </row>
    <row r="608" spans="6:6" ht="12.75">
      <c r="F608" s="11"/>
    </row>
    <row r="609" spans="6:6" ht="12.75">
      <c r="F609" s="11"/>
    </row>
    <row r="610" spans="6:6" ht="12.75">
      <c r="F610" s="11"/>
    </row>
    <row r="611" spans="6:6" ht="12.75">
      <c r="F611" s="11"/>
    </row>
    <row r="612" spans="6:6" ht="12.75">
      <c r="F612" s="11"/>
    </row>
    <row r="613" spans="6:6" ht="12.75">
      <c r="F613" s="11"/>
    </row>
    <row r="614" spans="6:6" ht="12.75">
      <c r="F614" s="11"/>
    </row>
    <row r="615" spans="6:6" ht="12.75">
      <c r="F615" s="11"/>
    </row>
    <row r="616" spans="6:6" ht="12.75">
      <c r="F616" s="11"/>
    </row>
    <row r="617" spans="6:6" ht="12.75">
      <c r="F617" s="11"/>
    </row>
    <row r="618" spans="6:6" ht="12.75">
      <c r="F618" s="11"/>
    </row>
    <row r="619" spans="6:6" ht="12.75">
      <c r="F619" s="11"/>
    </row>
    <row r="620" spans="6:6" ht="12.75">
      <c r="F620" s="11"/>
    </row>
    <row r="621" spans="6:6" ht="12.75">
      <c r="F621" s="11"/>
    </row>
    <row r="622" spans="6:6" ht="12.75">
      <c r="F622" s="11"/>
    </row>
    <row r="623" spans="6:6" ht="12.75">
      <c r="F623" s="11"/>
    </row>
    <row r="624" spans="6:6" ht="12.75">
      <c r="F624" s="11"/>
    </row>
    <row r="625" spans="6:6" ht="12.75">
      <c r="F625" s="11"/>
    </row>
    <row r="626" spans="6:6" ht="12.75">
      <c r="F626" s="11"/>
    </row>
    <row r="627" spans="6:6" ht="12.75">
      <c r="F627" s="11"/>
    </row>
    <row r="628" spans="6:6" ht="12.75">
      <c r="F628" s="11"/>
    </row>
    <row r="629" spans="6:6" ht="12.75">
      <c r="F629" s="11"/>
    </row>
    <row r="630" spans="6:6" ht="12.75">
      <c r="F630" s="11"/>
    </row>
    <row r="631" spans="6:6" ht="12.75">
      <c r="F631" s="11"/>
    </row>
    <row r="632" spans="6:6" ht="12.75">
      <c r="F632" s="11"/>
    </row>
    <row r="633" spans="6:6" ht="12.75">
      <c r="F633" s="11"/>
    </row>
    <row r="634" spans="6:6" ht="12.75">
      <c r="F634" s="11"/>
    </row>
    <row r="635" spans="6:6" ht="12.75">
      <c r="F635" s="11"/>
    </row>
    <row r="636" spans="6:6" ht="12.75">
      <c r="F636" s="11"/>
    </row>
    <row r="637" spans="6:6" ht="12.75">
      <c r="F637" s="11"/>
    </row>
    <row r="638" spans="6:6" ht="12.75">
      <c r="F638" s="11"/>
    </row>
    <row r="639" spans="6:6" ht="12.75">
      <c r="F639" s="11"/>
    </row>
    <row r="640" spans="6:6" ht="12.75">
      <c r="F640" s="11"/>
    </row>
    <row r="641" spans="6:6" ht="12.75">
      <c r="F641" s="11"/>
    </row>
    <row r="642" spans="6:6" ht="12.75">
      <c r="F642" s="11"/>
    </row>
    <row r="643" spans="6:6" ht="12.75">
      <c r="F643" s="11"/>
    </row>
    <row r="644" spans="6:6" ht="12.75">
      <c r="F644" s="11"/>
    </row>
    <row r="645" spans="6:6" ht="12.75">
      <c r="F645" s="11"/>
    </row>
    <row r="646" spans="6:6" ht="12.75">
      <c r="F646" s="11"/>
    </row>
    <row r="647" spans="6:6" ht="12.75">
      <c r="F647" s="11"/>
    </row>
    <row r="648" spans="6:6" ht="12.75">
      <c r="F648" s="11"/>
    </row>
    <row r="649" spans="6:6" ht="12.75">
      <c r="F649" s="11"/>
    </row>
    <row r="650" spans="6:6" ht="12.75">
      <c r="F650" s="11"/>
    </row>
    <row r="651" spans="6:6" ht="12.75">
      <c r="F651" s="11"/>
    </row>
    <row r="652" spans="6:6" ht="12.75">
      <c r="F652" s="11"/>
    </row>
    <row r="653" spans="6:6" ht="12.75">
      <c r="F653" s="11"/>
    </row>
    <row r="654" spans="6:6" ht="12.75">
      <c r="F654" s="11"/>
    </row>
    <row r="655" spans="6:6" ht="12.75">
      <c r="F655" s="11"/>
    </row>
    <row r="656" spans="6:6" ht="12.75">
      <c r="F656" s="11"/>
    </row>
    <row r="657" spans="6:6" ht="12.75">
      <c r="F657" s="11"/>
    </row>
    <row r="658" spans="6:6" ht="12.75">
      <c r="F658" s="11"/>
    </row>
    <row r="659" spans="6:6" ht="12.75">
      <c r="F659" s="11"/>
    </row>
    <row r="660" spans="6:6" ht="12.75">
      <c r="F660" s="11"/>
    </row>
    <row r="661" spans="6:6" ht="12.75">
      <c r="F661" s="11"/>
    </row>
    <row r="662" spans="6:6" ht="12.75">
      <c r="F662" s="11"/>
    </row>
    <row r="663" spans="6:6" ht="12.75">
      <c r="F663" s="11"/>
    </row>
    <row r="664" spans="6:6" ht="12.75">
      <c r="F664" s="11"/>
    </row>
    <row r="665" spans="6:6" ht="12.75">
      <c r="F665" s="11"/>
    </row>
    <row r="666" spans="6:6" ht="12.75">
      <c r="F666" s="11"/>
    </row>
    <row r="667" spans="6:6" ht="12.75">
      <c r="F667" s="11"/>
    </row>
    <row r="668" spans="6:6" ht="12.75">
      <c r="F668" s="11"/>
    </row>
    <row r="669" spans="6:6" ht="12.75">
      <c r="F669" s="11"/>
    </row>
    <row r="670" spans="6:6" ht="12.75">
      <c r="F670" s="11"/>
    </row>
    <row r="671" spans="6:6" ht="12.75">
      <c r="F671" s="11"/>
    </row>
    <row r="672" spans="6:6" ht="12.75">
      <c r="F672" s="11"/>
    </row>
    <row r="673" spans="6:6" ht="12.75">
      <c r="F673" s="11"/>
    </row>
    <row r="674" spans="6:6" ht="12.75">
      <c r="F674" s="11"/>
    </row>
    <row r="675" spans="6:6" ht="12.75">
      <c r="F675" s="11"/>
    </row>
    <row r="676" spans="6:6" ht="12.75">
      <c r="F676" s="11"/>
    </row>
    <row r="677" spans="6:6" ht="12.75">
      <c r="F677" s="11"/>
    </row>
    <row r="678" spans="6:6" ht="12.75">
      <c r="F678" s="11"/>
    </row>
    <row r="679" spans="6:6" ht="12.75">
      <c r="F679" s="11"/>
    </row>
    <row r="680" spans="6:6" ht="12.75">
      <c r="F680" s="11"/>
    </row>
    <row r="681" spans="6:6" ht="12.75">
      <c r="F681" s="11"/>
    </row>
    <row r="682" spans="6:6" ht="12.75">
      <c r="F682" s="11"/>
    </row>
    <row r="683" spans="6:6" ht="12.75">
      <c r="F683" s="11"/>
    </row>
    <row r="684" spans="6:6" ht="12.75">
      <c r="F684" s="11"/>
    </row>
    <row r="685" spans="6:6" ht="12.75">
      <c r="F685" s="11"/>
    </row>
    <row r="686" spans="6:6" ht="12.75">
      <c r="F686" s="11"/>
    </row>
    <row r="687" spans="6:6" ht="12.75">
      <c r="F687" s="11"/>
    </row>
    <row r="688" spans="6:6" ht="12.75">
      <c r="F688" s="11"/>
    </row>
    <row r="689" spans="6:6" ht="12.75">
      <c r="F689" s="11"/>
    </row>
    <row r="690" spans="6:6" ht="12.75">
      <c r="F690" s="11"/>
    </row>
    <row r="691" spans="6:6" ht="12.75">
      <c r="F691" s="11"/>
    </row>
    <row r="692" spans="6:6" ht="12.75">
      <c r="F692" s="11"/>
    </row>
    <row r="693" spans="6:6" ht="12.75">
      <c r="F693" s="11"/>
    </row>
    <row r="694" spans="6:6" ht="12.75">
      <c r="F694" s="11"/>
    </row>
    <row r="695" spans="6:6" ht="12.75">
      <c r="F695" s="11"/>
    </row>
    <row r="696" spans="6:6" ht="12.75">
      <c r="F696" s="11"/>
    </row>
    <row r="697" spans="6:6" ht="12.75">
      <c r="F697" s="11"/>
    </row>
    <row r="698" spans="6:6" ht="12.75">
      <c r="F698" s="11"/>
    </row>
    <row r="699" spans="6:6" ht="12.75">
      <c r="F699" s="11"/>
    </row>
    <row r="700" spans="6:6" ht="12.75">
      <c r="F700" s="11"/>
    </row>
    <row r="701" spans="6:6" ht="12.75">
      <c r="F701" s="11"/>
    </row>
    <row r="702" spans="6:6" ht="12.75">
      <c r="F702" s="11"/>
    </row>
    <row r="703" spans="6:6" ht="12.75">
      <c r="F703" s="11"/>
    </row>
    <row r="704" spans="6:6" ht="12.75">
      <c r="F704" s="11"/>
    </row>
    <row r="705" spans="6:6" ht="12.75">
      <c r="F705" s="11"/>
    </row>
    <row r="706" spans="6:6" ht="12.75">
      <c r="F706" s="11"/>
    </row>
    <row r="707" spans="6:6" ht="12.75">
      <c r="F707" s="11"/>
    </row>
    <row r="708" spans="6:6" ht="12.75">
      <c r="F708" s="11"/>
    </row>
    <row r="709" spans="6:6" ht="12.75">
      <c r="F709" s="11"/>
    </row>
    <row r="710" spans="6:6" ht="12.75">
      <c r="F710" s="11"/>
    </row>
    <row r="711" spans="6:6" ht="12.75">
      <c r="F711" s="11"/>
    </row>
    <row r="712" spans="6:6" ht="12.75">
      <c r="F712" s="11"/>
    </row>
    <row r="713" spans="6:6" ht="12.75">
      <c r="F713" s="11"/>
    </row>
    <row r="714" spans="6:6" ht="12.75">
      <c r="F714" s="11"/>
    </row>
    <row r="715" spans="6:6" ht="12.75">
      <c r="F715" s="11"/>
    </row>
    <row r="716" spans="6:6" ht="12.75">
      <c r="F716" s="11"/>
    </row>
    <row r="717" spans="6:6" ht="12.75">
      <c r="F717" s="11"/>
    </row>
    <row r="718" spans="6:6" ht="12.75">
      <c r="F718" s="11"/>
    </row>
    <row r="719" spans="6:6" ht="12.75">
      <c r="F719" s="11"/>
    </row>
    <row r="720" spans="6:6" ht="12.75">
      <c r="F720" s="11"/>
    </row>
    <row r="721" spans="6:6" ht="12.75">
      <c r="F721" s="11"/>
    </row>
    <row r="722" spans="6:6" ht="12.75">
      <c r="F722" s="11"/>
    </row>
    <row r="723" spans="6:6" ht="12.75">
      <c r="F723" s="11"/>
    </row>
    <row r="724" spans="6:6" ht="12.75">
      <c r="F724" s="11"/>
    </row>
    <row r="725" spans="6:6" ht="12.75">
      <c r="F725" s="11"/>
    </row>
    <row r="726" spans="6:6" ht="12.75">
      <c r="F726" s="11"/>
    </row>
    <row r="727" spans="6:6" ht="12.75">
      <c r="F727" s="11"/>
    </row>
    <row r="728" spans="6:6" ht="12.75">
      <c r="F728" s="11"/>
    </row>
    <row r="729" spans="6:6" ht="12.75">
      <c r="F729" s="11"/>
    </row>
    <row r="730" spans="6:6" ht="12.75">
      <c r="F730" s="11"/>
    </row>
    <row r="731" spans="6:6" ht="12.75">
      <c r="F731" s="11"/>
    </row>
    <row r="732" spans="6:6" ht="12.75">
      <c r="F732" s="11"/>
    </row>
    <row r="733" spans="6:6" ht="12.75">
      <c r="F733" s="11"/>
    </row>
    <row r="734" spans="6:6" ht="12.75">
      <c r="F734" s="11"/>
    </row>
    <row r="735" spans="6:6" ht="12.75">
      <c r="F735" s="11"/>
    </row>
    <row r="736" spans="6:6" ht="12.75">
      <c r="F736" s="11"/>
    </row>
    <row r="737" spans="6:6" ht="12.75">
      <c r="F737" s="11"/>
    </row>
    <row r="738" spans="6:6" ht="12.75">
      <c r="F738" s="11"/>
    </row>
    <row r="739" spans="6:6" ht="12.75">
      <c r="F739" s="11"/>
    </row>
    <row r="740" spans="6:6" ht="12.75">
      <c r="F740" s="11"/>
    </row>
    <row r="741" spans="6:6" ht="12.75">
      <c r="F741" s="11"/>
    </row>
    <row r="742" spans="6:6" ht="12.75">
      <c r="F742" s="11"/>
    </row>
    <row r="743" spans="6:6" ht="12.75">
      <c r="F743" s="11"/>
    </row>
    <row r="744" spans="6:6" ht="12.75">
      <c r="F744" s="11"/>
    </row>
    <row r="745" spans="6:6" ht="12.75">
      <c r="F745" s="11"/>
    </row>
    <row r="746" spans="6:6" ht="12.75">
      <c r="F746" s="11"/>
    </row>
    <row r="747" spans="6:6" ht="12.75">
      <c r="F747" s="11"/>
    </row>
    <row r="748" spans="6:6" ht="12.75">
      <c r="F748" s="11"/>
    </row>
    <row r="749" spans="6:6" ht="12.75">
      <c r="F749" s="11"/>
    </row>
    <row r="750" spans="6:6" ht="12.75">
      <c r="F750" s="11"/>
    </row>
    <row r="751" spans="6:6" ht="12.75">
      <c r="F751" s="11"/>
    </row>
    <row r="752" spans="6:6" ht="12.75">
      <c r="F752" s="11"/>
    </row>
    <row r="753" spans="6:6" ht="12.75">
      <c r="F753" s="11"/>
    </row>
    <row r="754" spans="6:6" ht="12.75">
      <c r="F754" s="11"/>
    </row>
    <row r="755" spans="6:6" ht="12.75">
      <c r="F755" s="11"/>
    </row>
    <row r="756" spans="6:6" ht="12.75">
      <c r="F756" s="11"/>
    </row>
    <row r="757" spans="6:6" ht="12.75">
      <c r="F757" s="11"/>
    </row>
    <row r="758" spans="6:6" ht="12.75">
      <c r="F758" s="11"/>
    </row>
    <row r="759" spans="6:6" ht="12.75">
      <c r="F759" s="11"/>
    </row>
    <row r="760" spans="6:6" ht="12.75">
      <c r="F760" s="11"/>
    </row>
    <row r="761" spans="6:6" ht="12.75">
      <c r="F761" s="11"/>
    </row>
    <row r="762" spans="6:6" ht="12.75">
      <c r="F762" s="11"/>
    </row>
    <row r="763" spans="6:6" ht="12.75">
      <c r="F763" s="11"/>
    </row>
    <row r="764" spans="6:6" ht="12.75">
      <c r="F764" s="11"/>
    </row>
    <row r="765" spans="6:6" ht="12.75">
      <c r="F765" s="11"/>
    </row>
    <row r="766" spans="6:6" ht="12.75">
      <c r="F766" s="11"/>
    </row>
    <row r="767" spans="6:6" ht="12.75">
      <c r="F767" s="11"/>
    </row>
    <row r="768" spans="6:6" ht="12.75">
      <c r="F768" s="11"/>
    </row>
    <row r="769" spans="6:6" ht="12.75">
      <c r="F769" s="11"/>
    </row>
    <row r="770" spans="6:6" ht="12.75">
      <c r="F770" s="11"/>
    </row>
    <row r="771" spans="6:6" ht="12.75">
      <c r="F771" s="11"/>
    </row>
    <row r="772" spans="6:6" ht="12.75">
      <c r="F772" s="11"/>
    </row>
    <row r="773" spans="6:6" ht="12.75">
      <c r="F773" s="11"/>
    </row>
    <row r="774" spans="6:6" ht="12.75">
      <c r="F774" s="11"/>
    </row>
    <row r="775" spans="6:6" ht="12.75">
      <c r="F775" s="11"/>
    </row>
    <row r="776" spans="6:6" ht="12.75">
      <c r="F776" s="11"/>
    </row>
    <row r="777" spans="6:6" ht="12.75">
      <c r="F777" s="11"/>
    </row>
    <row r="778" spans="6:6" ht="12.75">
      <c r="F778" s="11"/>
    </row>
    <row r="779" spans="6:6" ht="12.75">
      <c r="F779" s="11"/>
    </row>
    <row r="780" spans="6:6" ht="12.75">
      <c r="F780" s="11"/>
    </row>
    <row r="781" spans="6:6" ht="12.75">
      <c r="F781" s="11"/>
    </row>
    <row r="782" spans="6:6" ht="12.75">
      <c r="F782" s="11"/>
    </row>
    <row r="783" spans="6:6" ht="12.75">
      <c r="F783" s="11"/>
    </row>
    <row r="784" spans="6:6" ht="12.75">
      <c r="F784" s="11"/>
    </row>
    <row r="785" spans="6:6" ht="12.75">
      <c r="F785" s="11"/>
    </row>
    <row r="786" spans="6:6" ht="12.75">
      <c r="F786" s="11"/>
    </row>
    <row r="787" spans="6:6" ht="12.75">
      <c r="F787" s="11"/>
    </row>
    <row r="788" spans="6:6" ht="12.75">
      <c r="F788" s="11"/>
    </row>
    <row r="789" spans="6:6" ht="12.75">
      <c r="F789" s="11"/>
    </row>
    <row r="790" spans="6:6" ht="12.75">
      <c r="F790" s="11"/>
    </row>
    <row r="791" spans="6:6" ht="12.75">
      <c r="F791" s="11"/>
    </row>
    <row r="792" spans="6:6" ht="12.75">
      <c r="F792" s="11"/>
    </row>
    <row r="793" spans="6:6" ht="12.75">
      <c r="F793" s="11"/>
    </row>
    <row r="794" spans="6:6" ht="12.75">
      <c r="F794" s="11"/>
    </row>
    <row r="795" spans="6:6" ht="12.75">
      <c r="F795" s="11"/>
    </row>
    <row r="796" spans="6:6" ht="12.75">
      <c r="F796" s="11"/>
    </row>
    <row r="797" spans="6:6" ht="12.75">
      <c r="F797" s="11"/>
    </row>
    <row r="798" spans="6:6" ht="12.75">
      <c r="F798" s="11"/>
    </row>
    <row r="799" spans="6:6" ht="12.75">
      <c r="F799" s="11"/>
    </row>
    <row r="800" spans="6:6" ht="12.75">
      <c r="F800" s="11"/>
    </row>
    <row r="801" spans="6:6" ht="12.75">
      <c r="F801" s="11"/>
    </row>
    <row r="802" spans="6:6" ht="12.75">
      <c r="F802" s="11"/>
    </row>
    <row r="803" spans="6:6" ht="12.75">
      <c r="F803" s="11"/>
    </row>
    <row r="804" spans="6:6" ht="12.75">
      <c r="F804" s="11"/>
    </row>
    <row r="805" spans="6:6" ht="12.75">
      <c r="F805" s="11"/>
    </row>
    <row r="806" spans="6:6" ht="12.75">
      <c r="F806" s="11"/>
    </row>
    <row r="807" spans="6:6" ht="12.75">
      <c r="F807" s="11"/>
    </row>
    <row r="808" spans="6:6" ht="12.75">
      <c r="F808" s="11"/>
    </row>
    <row r="809" spans="6:6" ht="12.75">
      <c r="F809" s="11"/>
    </row>
    <row r="810" spans="6:6" ht="12.75">
      <c r="F810" s="11"/>
    </row>
    <row r="811" spans="6:6" ht="12.75">
      <c r="F811" s="11"/>
    </row>
    <row r="812" spans="6:6" ht="12.75">
      <c r="F812" s="11"/>
    </row>
    <row r="813" spans="6:6" ht="12.75">
      <c r="F813" s="11"/>
    </row>
    <row r="814" spans="6:6" ht="12.75">
      <c r="F814" s="11"/>
    </row>
    <row r="815" spans="6:6" ht="12.75">
      <c r="F815" s="11"/>
    </row>
    <row r="816" spans="6:6" ht="12.75">
      <c r="F816" s="11"/>
    </row>
    <row r="817" spans="6:6" ht="12.75">
      <c r="F817" s="11"/>
    </row>
    <row r="818" spans="6:6" ht="12.75">
      <c r="F818" s="11"/>
    </row>
    <row r="819" spans="6:6" ht="12.75">
      <c r="F819" s="11"/>
    </row>
    <row r="820" spans="6:6" ht="12.75">
      <c r="F820" s="11"/>
    </row>
    <row r="821" spans="6:6" ht="12.75">
      <c r="F821" s="11"/>
    </row>
    <row r="822" spans="6:6" ht="12.75">
      <c r="F822" s="11"/>
    </row>
    <row r="823" spans="6:6" ht="12.75">
      <c r="F823" s="11"/>
    </row>
    <row r="824" spans="6:6" ht="12.75">
      <c r="F824" s="11"/>
    </row>
    <row r="825" spans="6:6" ht="12.75">
      <c r="F825" s="11"/>
    </row>
    <row r="826" spans="6:6" ht="12.75">
      <c r="F826" s="11"/>
    </row>
    <row r="827" spans="6:6" ht="12.75">
      <c r="F827" s="11"/>
    </row>
    <row r="828" spans="6:6" ht="12.75">
      <c r="F828" s="11"/>
    </row>
    <row r="829" spans="6:6" ht="12.75">
      <c r="F829" s="11"/>
    </row>
    <row r="830" spans="6:6" ht="12.75">
      <c r="F830" s="11"/>
    </row>
    <row r="831" spans="6:6" ht="12.75">
      <c r="F831" s="11"/>
    </row>
    <row r="832" spans="6:6" ht="12.75">
      <c r="F832" s="11"/>
    </row>
    <row r="833" spans="6:6" ht="12.75">
      <c r="F833" s="11"/>
    </row>
    <row r="834" spans="6:6" ht="12.75">
      <c r="F834" s="11"/>
    </row>
    <row r="835" spans="6:6" ht="12.75">
      <c r="F835" s="11"/>
    </row>
    <row r="836" spans="6:6" ht="12.75">
      <c r="F836" s="11"/>
    </row>
    <row r="837" spans="6:6" ht="12.75">
      <c r="F837" s="11"/>
    </row>
    <row r="838" spans="6:6" ht="12.75">
      <c r="F838" s="11"/>
    </row>
    <row r="839" spans="6:6" ht="12.75">
      <c r="F839" s="11"/>
    </row>
    <row r="840" spans="6:6" ht="12.75">
      <c r="F840" s="11"/>
    </row>
    <row r="841" spans="6:6" ht="12.75">
      <c r="F841" s="11"/>
    </row>
    <row r="842" spans="6:6" ht="12.75">
      <c r="F842" s="11"/>
    </row>
    <row r="843" spans="6:6" ht="12.75">
      <c r="F843" s="11"/>
    </row>
    <row r="844" spans="6:6" ht="12.75">
      <c r="F844" s="11"/>
    </row>
    <row r="845" spans="6:6" ht="12.75">
      <c r="F845" s="11"/>
    </row>
    <row r="846" spans="6:6" ht="12.75">
      <c r="F846" s="11"/>
    </row>
    <row r="847" spans="6:6" ht="12.75">
      <c r="F847" s="11"/>
    </row>
    <row r="848" spans="6:6" ht="12.75">
      <c r="F848" s="11"/>
    </row>
    <row r="849" spans="6:6" ht="12.75">
      <c r="F849" s="11"/>
    </row>
    <row r="850" spans="6:6" ht="12.75">
      <c r="F850" s="11"/>
    </row>
    <row r="851" spans="6:6" ht="12.75">
      <c r="F851" s="11"/>
    </row>
    <row r="852" spans="6:6" ht="12.75">
      <c r="F852" s="11"/>
    </row>
    <row r="853" spans="6:6" ht="12.75">
      <c r="F853" s="11"/>
    </row>
    <row r="854" spans="6:6" ht="12.75">
      <c r="F854" s="11"/>
    </row>
    <row r="855" spans="6:6" ht="12.75">
      <c r="F855" s="11"/>
    </row>
    <row r="856" spans="6:6" ht="12.75">
      <c r="F856" s="11"/>
    </row>
    <row r="857" spans="6:6" ht="12.75">
      <c r="F857" s="11"/>
    </row>
    <row r="858" spans="6:6" ht="12.75">
      <c r="F858" s="11"/>
    </row>
    <row r="859" spans="6:6" ht="12.75">
      <c r="F859" s="11"/>
    </row>
    <row r="860" spans="6:6" ht="12.75">
      <c r="F860" s="11"/>
    </row>
    <row r="861" spans="6:6" ht="12.75">
      <c r="F861" s="11"/>
    </row>
    <row r="862" spans="6:6" ht="12.75">
      <c r="F862" s="11"/>
    </row>
    <row r="863" spans="6:6" ht="12.75">
      <c r="F863" s="11"/>
    </row>
    <row r="864" spans="6:6" ht="12.75">
      <c r="F864" s="11"/>
    </row>
    <row r="865" spans="6:6" ht="12.75">
      <c r="F865" s="11"/>
    </row>
    <row r="866" spans="6:6" ht="12.75">
      <c r="F866" s="11"/>
    </row>
    <row r="867" spans="6:6" ht="12.75">
      <c r="F867" s="11"/>
    </row>
    <row r="868" spans="6:6" ht="12.75">
      <c r="F868" s="11"/>
    </row>
    <row r="869" spans="6:6" ht="12.75">
      <c r="F869" s="11"/>
    </row>
    <row r="870" spans="6:6" ht="12.75">
      <c r="F870" s="11"/>
    </row>
    <row r="871" spans="6:6" ht="12.75">
      <c r="F871" s="11"/>
    </row>
    <row r="872" spans="6:6" ht="12.75">
      <c r="F872" s="11"/>
    </row>
    <row r="873" spans="6:6" ht="12.75">
      <c r="F873" s="11"/>
    </row>
    <row r="874" spans="6:6" ht="12.75">
      <c r="F874" s="11"/>
    </row>
    <row r="875" spans="6:6" ht="12.75">
      <c r="F875" s="11"/>
    </row>
    <row r="876" spans="6:6" ht="12.75">
      <c r="F876" s="11"/>
    </row>
    <row r="877" spans="6:6" ht="12.75">
      <c r="F877" s="11"/>
    </row>
    <row r="878" spans="6:6" ht="12.75">
      <c r="F878" s="11"/>
    </row>
    <row r="879" spans="6:6" ht="12.75">
      <c r="F879" s="11"/>
    </row>
    <row r="880" spans="6:6" ht="12.75">
      <c r="F880" s="11"/>
    </row>
    <row r="881" spans="6:6" ht="12.75">
      <c r="F881" s="11"/>
    </row>
    <row r="882" spans="6:6" ht="12.75">
      <c r="F882" s="11"/>
    </row>
    <row r="883" spans="6:6" ht="12.75">
      <c r="F883" s="11"/>
    </row>
    <row r="884" spans="6:6" ht="12.75">
      <c r="F884" s="11"/>
    </row>
    <row r="885" spans="6:6" ht="12.75">
      <c r="F885" s="11"/>
    </row>
    <row r="886" spans="6:6" ht="12.75">
      <c r="F886" s="11"/>
    </row>
    <row r="887" spans="6:6" ht="12.75">
      <c r="F887" s="11"/>
    </row>
    <row r="888" spans="6:6" ht="12.75">
      <c r="F888" s="11"/>
    </row>
    <row r="889" spans="6:6" ht="12.75">
      <c r="F889" s="11"/>
    </row>
    <row r="890" spans="6:6" ht="12.75">
      <c r="F890" s="11"/>
    </row>
    <row r="891" spans="6:6" ht="12.75">
      <c r="F891" s="11"/>
    </row>
    <row r="892" spans="6:6" ht="12.75">
      <c r="F892" s="11"/>
    </row>
    <row r="893" spans="6:6" ht="12.75">
      <c r="F893" s="11"/>
    </row>
    <row r="894" spans="6:6" ht="12.75">
      <c r="F894" s="11"/>
    </row>
    <row r="895" spans="6:6" ht="12.75">
      <c r="F895" s="11"/>
    </row>
    <row r="896" spans="6:6" ht="12.75">
      <c r="F896" s="11"/>
    </row>
    <row r="897" spans="6:6" ht="12.75">
      <c r="F897" s="11"/>
    </row>
    <row r="898" spans="6:6" ht="12.75">
      <c r="F898" s="11"/>
    </row>
    <row r="899" spans="6:6" ht="12.75">
      <c r="F899" s="11"/>
    </row>
    <row r="900" spans="6:6" ht="12.75">
      <c r="F900" s="11"/>
    </row>
    <row r="901" spans="6:6" ht="12.75">
      <c r="F901" s="11"/>
    </row>
    <row r="902" spans="6:6" ht="12.75">
      <c r="F902" s="11"/>
    </row>
    <row r="903" spans="6:6" ht="12.75">
      <c r="F903" s="11"/>
    </row>
    <row r="904" spans="6:6" ht="12.75">
      <c r="F904" s="11"/>
    </row>
    <row r="905" spans="6:6" ht="12.75">
      <c r="F905" s="11"/>
    </row>
    <row r="906" spans="6:6" ht="12.75">
      <c r="F906" s="11"/>
    </row>
    <row r="907" spans="6:6" ht="12.75">
      <c r="F907" s="11"/>
    </row>
    <row r="908" spans="6:6" ht="12.75">
      <c r="F908" s="11"/>
    </row>
    <row r="909" spans="6:6" ht="12.75">
      <c r="F909" s="11"/>
    </row>
    <row r="910" spans="6:6" ht="12.75">
      <c r="F910" s="11"/>
    </row>
    <row r="911" spans="6:6" ht="12.75">
      <c r="F911" s="11"/>
    </row>
    <row r="912" spans="6:6" ht="12.75">
      <c r="F912" s="11"/>
    </row>
    <row r="913" spans="6:6" ht="12.75">
      <c r="F913" s="11"/>
    </row>
    <row r="914" spans="6:6" ht="12.75">
      <c r="F914" s="11"/>
    </row>
    <row r="915" spans="6:6" ht="12.75">
      <c r="F915" s="11"/>
    </row>
    <row r="916" spans="6:6" ht="12.75">
      <c r="F916" s="11"/>
    </row>
    <row r="917" spans="6:6" ht="12.75">
      <c r="F917" s="11"/>
    </row>
    <row r="918" spans="6:6" ht="12.75">
      <c r="F918" s="11"/>
    </row>
    <row r="919" spans="6:6" ht="12.75">
      <c r="F919" s="11"/>
    </row>
    <row r="920" spans="6:6" ht="12.75">
      <c r="F920" s="11"/>
    </row>
    <row r="921" spans="6:6" ht="12.75">
      <c r="F921" s="11"/>
    </row>
    <row r="922" spans="6:6" ht="12.75">
      <c r="F922" s="11"/>
    </row>
    <row r="923" spans="6:6" ht="12.75">
      <c r="F923" s="11"/>
    </row>
    <row r="924" spans="6:6" ht="12.75">
      <c r="F924" s="11"/>
    </row>
    <row r="925" spans="6:6" ht="12.75">
      <c r="F925" s="11"/>
    </row>
    <row r="926" spans="6:6" ht="12.75">
      <c r="F926" s="11"/>
    </row>
    <row r="927" spans="6:6" ht="12.75">
      <c r="F927" s="11"/>
    </row>
    <row r="928" spans="6:6" ht="12.75">
      <c r="F928" s="11"/>
    </row>
    <row r="929" spans="6:6" ht="12.75">
      <c r="F929" s="11"/>
    </row>
    <row r="930" spans="6:6" ht="12.75">
      <c r="F930" s="11"/>
    </row>
    <row r="931" spans="6:6" ht="12.75">
      <c r="F931" s="11"/>
    </row>
    <row r="932" spans="6:6" ht="12.75">
      <c r="F932" s="11"/>
    </row>
    <row r="933" spans="6:6" ht="12.75">
      <c r="F933" s="11"/>
    </row>
    <row r="934" spans="6:6" ht="12.75">
      <c r="F934" s="11"/>
    </row>
    <row r="935" spans="6:6" ht="12.75">
      <c r="F935" s="11"/>
    </row>
    <row r="936" spans="6:6" ht="12.75">
      <c r="F936" s="11"/>
    </row>
    <row r="937" spans="6:6" ht="12.75">
      <c r="F937" s="11"/>
    </row>
    <row r="938" spans="6:6" ht="12.75">
      <c r="F938" s="11"/>
    </row>
    <row r="939" spans="6:6" ht="12.75">
      <c r="F939" s="11"/>
    </row>
    <row r="940" spans="6:6" ht="12.75">
      <c r="F940" s="11"/>
    </row>
    <row r="941" spans="6:6" ht="12.75">
      <c r="F941" s="11"/>
    </row>
    <row r="942" spans="6:6" ht="12.75">
      <c r="F942" s="11"/>
    </row>
    <row r="943" spans="6:6" ht="12.75">
      <c r="F943" s="11"/>
    </row>
    <row r="944" spans="6:6" ht="12.75">
      <c r="F944" s="11"/>
    </row>
    <row r="945" spans="6:6" ht="12.75">
      <c r="F945" s="11"/>
    </row>
    <row r="946" spans="6:6" ht="12.75">
      <c r="F946" s="11"/>
    </row>
    <row r="947" spans="6:6" ht="12.75">
      <c r="F947" s="11"/>
    </row>
    <row r="948" spans="6:6" ht="12.75">
      <c r="F948" s="11"/>
    </row>
    <row r="949" spans="6:6" ht="12.75">
      <c r="F949" s="11"/>
    </row>
    <row r="950" spans="6:6" ht="12.75">
      <c r="F950" s="11"/>
    </row>
    <row r="951" spans="6:6" ht="12.75">
      <c r="F951" s="11"/>
    </row>
    <row r="952" spans="6:6" ht="12.75">
      <c r="F952" s="11"/>
    </row>
    <row r="953" spans="6:6" ht="12.75">
      <c r="F953" s="11"/>
    </row>
    <row r="954" spans="6:6" ht="12.75">
      <c r="F954" s="11"/>
    </row>
    <row r="955" spans="6:6" ht="12.75">
      <c r="F955" s="11"/>
    </row>
    <row r="956" spans="6:6" ht="12.75">
      <c r="F956" s="11"/>
    </row>
    <row r="957" spans="6:6" ht="12.75">
      <c r="F957" s="11"/>
    </row>
    <row r="958" spans="6:6" ht="12.75">
      <c r="F958" s="11"/>
    </row>
    <row r="959" spans="6:6" ht="12.75">
      <c r="F959" s="11"/>
    </row>
    <row r="960" spans="6:6" ht="12.75">
      <c r="F960" s="11"/>
    </row>
    <row r="961" spans="6:6" ht="12.75">
      <c r="F961" s="11"/>
    </row>
    <row r="962" spans="6:6" ht="12.75">
      <c r="F962" s="11"/>
    </row>
    <row r="963" spans="6:6" ht="12.75">
      <c r="F963" s="11"/>
    </row>
    <row r="964" spans="6:6" ht="12.75">
      <c r="F964" s="11"/>
    </row>
    <row r="965" spans="6:6" ht="12.75">
      <c r="F965" s="11"/>
    </row>
    <row r="966" spans="6:6" ht="12.75">
      <c r="F966" s="11"/>
    </row>
    <row r="967" spans="6:6" ht="12.75">
      <c r="F967" s="11"/>
    </row>
    <row r="968" spans="6:6" ht="12.75">
      <c r="F968" s="11"/>
    </row>
    <row r="969" spans="6:6" ht="12.75">
      <c r="F969" s="11"/>
    </row>
    <row r="970" spans="6:6" ht="12.75">
      <c r="F970" s="11"/>
    </row>
    <row r="971" spans="6:6" ht="12.75">
      <c r="F971" s="11"/>
    </row>
    <row r="972" spans="6:6" ht="12.75">
      <c r="F972" s="11"/>
    </row>
    <row r="973" spans="6:6" ht="12.75">
      <c r="F973" s="11"/>
    </row>
    <row r="974" spans="6:6" ht="12.75">
      <c r="F974" s="11"/>
    </row>
    <row r="975" spans="6:6" ht="12.75">
      <c r="F975" s="11"/>
    </row>
    <row r="976" spans="6:6" ht="12.75">
      <c r="F976" s="11"/>
    </row>
    <row r="977" spans="6:6" ht="12.75">
      <c r="F977" s="11"/>
    </row>
    <row r="978" spans="6:6" ht="12.75">
      <c r="F978" s="11"/>
    </row>
    <row r="979" spans="6:6" ht="12.75">
      <c r="F979" s="11"/>
    </row>
    <row r="980" spans="6:6" ht="12.75">
      <c r="F980" s="11"/>
    </row>
    <row r="981" spans="6:6" ht="12.75">
      <c r="F981" s="11"/>
    </row>
    <row r="982" spans="6:6" ht="12.75">
      <c r="F982" s="11"/>
    </row>
    <row r="983" spans="6:6" ht="12.75">
      <c r="F983" s="11"/>
    </row>
    <row r="984" spans="6:6" ht="12.75">
      <c r="F984" s="11"/>
    </row>
    <row r="985" spans="6:6" ht="12.75">
      <c r="F985" s="11"/>
    </row>
    <row r="986" spans="6:6" ht="12.75">
      <c r="F986" s="11"/>
    </row>
    <row r="987" spans="6:6" ht="12.75">
      <c r="F987" s="11"/>
    </row>
    <row r="988" spans="6:6" ht="12.75">
      <c r="F988" s="11"/>
    </row>
    <row r="989" spans="6:6" ht="12.75">
      <c r="F989" s="11"/>
    </row>
    <row r="990" spans="6:6" ht="12.75">
      <c r="F990" s="11"/>
    </row>
    <row r="991" spans="6:6" ht="12.75">
      <c r="F991" s="11"/>
    </row>
    <row r="992" spans="6:6" ht="12.75">
      <c r="F992" s="11"/>
    </row>
    <row r="993" spans="6:6" ht="12.75">
      <c r="F993" s="11"/>
    </row>
    <row r="994" spans="6:6" ht="12.75">
      <c r="F994" s="11"/>
    </row>
    <row r="995" spans="6:6" ht="12.75">
      <c r="F995" s="11"/>
    </row>
    <row r="996" spans="6:6" ht="12.75">
      <c r="F996" s="11"/>
    </row>
    <row r="997" spans="6:6" ht="12.75">
      <c r="F997" s="11"/>
    </row>
    <row r="998" spans="6:6" ht="12.75">
      <c r="F998" s="11"/>
    </row>
    <row r="999" spans="6:6" ht="12.75">
      <c r="F999" s="11"/>
    </row>
    <row r="1000" spans="6:6" ht="12.75">
      <c r="F1000" s="11"/>
    </row>
    <row r="1001" spans="6:6" ht="12.75">
      <c r="F1001" s="11"/>
    </row>
    <row r="1002" spans="6:6" ht="12.75">
      <c r="F1002" s="11"/>
    </row>
    <row r="1003" spans="6:6" ht="12.75">
      <c r="F1003" s="11"/>
    </row>
    <row r="1004" spans="6:6" ht="12.75">
      <c r="F1004" s="11"/>
    </row>
    <row r="1005" spans="6:6" ht="12.75">
      <c r="F1005" s="11"/>
    </row>
    <row r="1006" spans="6:6" ht="12.75">
      <c r="F1006" s="11"/>
    </row>
    <row r="1007" spans="6:6" ht="12.75">
      <c r="F1007" s="11"/>
    </row>
    <row r="1008" spans="6:6" ht="12.75">
      <c r="F1008" s="11"/>
    </row>
    <row r="1009" spans="6:6" ht="12.75">
      <c r="F1009" s="11"/>
    </row>
    <row r="1010" spans="6:6" ht="12.75">
      <c r="F1010" s="11"/>
    </row>
    <row r="1011" spans="6:6" ht="12.75">
      <c r="F1011" s="11"/>
    </row>
    <row r="1012" spans="6:6" ht="12.75">
      <c r="F1012" s="11"/>
    </row>
    <row r="1013" spans="6:6" ht="12.75">
      <c r="F1013" s="11"/>
    </row>
    <row r="1014" spans="6:6" ht="12.75">
      <c r="F1014" s="11"/>
    </row>
    <row r="1015" spans="6:6" ht="12.75">
      <c r="F1015" s="11"/>
    </row>
    <row r="1016" spans="6:6" ht="12.75">
      <c r="F1016" s="11"/>
    </row>
    <row r="1017" spans="6:6" ht="12.75">
      <c r="F1017" s="11"/>
    </row>
    <row r="1018" spans="6:6" ht="12.75">
      <c r="F1018" s="11"/>
    </row>
    <row r="1019" spans="6:6" ht="12.75">
      <c r="F1019" s="11"/>
    </row>
    <row r="1020" spans="6:6" ht="12.75">
      <c r="F1020" s="11"/>
    </row>
    <row r="1021" spans="6:6" ht="12.75">
      <c r="F1021" s="11"/>
    </row>
    <row r="1022" spans="6:6" ht="12.75">
      <c r="F1022" s="11"/>
    </row>
    <row r="1023" spans="6:6" ht="12.75">
      <c r="F1023" s="11"/>
    </row>
    <row r="1024" spans="6:6" ht="12.75">
      <c r="F1024" s="11"/>
    </row>
    <row r="1025" spans="6:6" ht="12.75">
      <c r="F1025" s="11"/>
    </row>
    <row r="1026" spans="6:6" ht="12.75">
      <c r="F1026" s="11"/>
    </row>
    <row r="1027" spans="6:6" ht="12.75">
      <c r="F1027" s="11"/>
    </row>
    <row r="1028" spans="6:6" ht="12.75">
      <c r="F1028" s="11"/>
    </row>
    <row r="1029" spans="6:6" ht="12.75">
      <c r="F1029" s="11"/>
    </row>
    <row r="1030" spans="6:6" ht="12.75">
      <c r="F1030" s="11"/>
    </row>
    <row r="1031" spans="6:6" ht="12.75">
      <c r="F1031" s="11"/>
    </row>
    <row r="1032" spans="6:6" ht="12.75">
      <c r="F1032" s="11"/>
    </row>
    <row r="1033" spans="6:6" ht="12.75">
      <c r="F1033" s="11"/>
    </row>
    <row r="1034" spans="6:6" ht="12.75">
      <c r="F1034" s="11"/>
    </row>
    <row r="1035" spans="6:6" ht="12.75">
      <c r="F1035" s="11"/>
    </row>
    <row r="1036" spans="6:6" ht="12.75">
      <c r="F1036" s="11"/>
    </row>
    <row r="1037" spans="6:6" ht="12.75">
      <c r="F1037" s="11"/>
    </row>
    <row r="1038" spans="6:6" ht="12.75">
      <c r="F1038" s="11"/>
    </row>
    <row r="1039" spans="6:6" ht="12.75">
      <c r="F1039" s="11"/>
    </row>
    <row r="1040" spans="6:6" ht="12.75">
      <c r="F1040" s="11"/>
    </row>
    <row r="1041" spans="6:6" ht="12.75">
      <c r="F1041" s="11"/>
    </row>
    <row r="1042" spans="6:6" ht="12.75">
      <c r="F1042" s="11"/>
    </row>
    <row r="1043" spans="6:6" ht="12.75">
      <c r="F1043" s="11"/>
    </row>
    <row r="1044" spans="6:6" ht="12.75">
      <c r="F1044" s="11"/>
    </row>
    <row r="1045" spans="6:6" ht="12.75">
      <c r="F1045" s="11"/>
    </row>
    <row r="1046" spans="6:6" ht="12.75">
      <c r="F1046" s="11"/>
    </row>
    <row r="1047" spans="6:6" ht="12.75">
      <c r="F1047" s="11"/>
    </row>
    <row r="1048" spans="6:6" ht="12.75">
      <c r="F1048" s="11"/>
    </row>
    <row r="1049" spans="6:6" ht="12.75">
      <c r="F1049" s="11"/>
    </row>
    <row r="1050" spans="6:6" ht="12.75">
      <c r="F1050" s="11"/>
    </row>
    <row r="1051" spans="6:6" ht="12.75">
      <c r="F1051" s="11"/>
    </row>
    <row r="1052" spans="6:6" ht="12.75">
      <c r="F1052" s="11"/>
    </row>
    <row r="1053" spans="6:6" ht="12.75">
      <c r="F1053" s="11"/>
    </row>
    <row r="1054" spans="6:6" ht="12.75">
      <c r="F1054" s="11"/>
    </row>
    <row r="1055" spans="6:6" ht="12.75">
      <c r="F1055" s="11"/>
    </row>
    <row r="1056" spans="6:6" ht="12.75">
      <c r="F1056" s="11"/>
    </row>
    <row r="1057" spans="6:6" ht="12.75">
      <c r="F1057" s="11"/>
    </row>
    <row r="1058" spans="6:6" ht="12.75">
      <c r="F1058" s="11"/>
    </row>
    <row r="1059" spans="6:6" ht="12.75">
      <c r="F1059" s="11"/>
    </row>
    <row r="1060" spans="6:6" ht="12.75">
      <c r="F1060" s="11"/>
    </row>
    <row r="1061" spans="6:6" ht="12.75">
      <c r="F1061" s="11"/>
    </row>
    <row r="1062" spans="6:6" ht="12.75">
      <c r="F1062" s="11"/>
    </row>
    <row r="1063" spans="6:6" ht="12.75">
      <c r="F1063" s="11"/>
    </row>
    <row r="1064" spans="6:6" ht="12.75">
      <c r="F1064" s="11"/>
    </row>
    <row r="1065" spans="6:6" ht="12.75">
      <c r="F1065" s="11"/>
    </row>
    <row r="1066" spans="6:6" ht="12.75">
      <c r="F1066" s="11"/>
    </row>
    <row r="1067" spans="6:6" ht="12.75">
      <c r="F1067" s="11"/>
    </row>
    <row r="1068" spans="6:6" ht="12.75">
      <c r="F1068" s="11"/>
    </row>
    <row r="1069" spans="6:6" ht="12.75">
      <c r="F1069" s="11"/>
    </row>
    <row r="1070" spans="6:6" ht="12.75">
      <c r="F1070" s="11"/>
    </row>
    <row r="1071" spans="6:6" ht="12.75">
      <c r="F1071" s="11"/>
    </row>
    <row r="1072" spans="6:6" ht="12.75">
      <c r="F1072" s="11"/>
    </row>
    <row r="1073" spans="6:6" ht="12.75">
      <c r="F1073" s="11"/>
    </row>
    <row r="1074" spans="6:6" ht="12.75">
      <c r="F1074" s="11"/>
    </row>
    <row r="1075" spans="6:6" ht="12.75">
      <c r="F1075" s="11"/>
    </row>
    <row r="1076" spans="6:6" ht="12.75">
      <c r="F1076" s="11"/>
    </row>
    <row r="1077" spans="6:6" ht="12.75">
      <c r="F1077" s="11"/>
    </row>
    <row r="1078" spans="6:6" ht="12.75">
      <c r="F1078" s="11"/>
    </row>
    <row r="1079" spans="6:6" ht="12.75">
      <c r="F1079" s="11"/>
    </row>
    <row r="1080" spans="6:6" ht="12.75">
      <c r="F1080" s="11"/>
    </row>
    <row r="1081" spans="6:6" ht="12.75">
      <c r="F1081" s="11"/>
    </row>
    <row r="1082" spans="6:6" ht="12.75">
      <c r="F1082" s="11"/>
    </row>
    <row r="1083" spans="6:6" ht="12.75">
      <c r="F1083" s="11"/>
    </row>
    <row r="1084" spans="6:6" ht="12.75">
      <c r="F1084" s="11"/>
    </row>
    <row r="1085" spans="6:6" ht="12.75">
      <c r="F1085" s="11"/>
    </row>
    <row r="1086" spans="6:6" ht="12.75">
      <c r="F1086" s="11"/>
    </row>
    <row r="1087" spans="6:6" ht="12.75">
      <c r="F1087" s="11"/>
    </row>
    <row r="1088" spans="6:6" ht="12.75">
      <c r="F1088" s="11"/>
    </row>
    <row r="1089" spans="6:6" ht="12.75">
      <c r="F1089" s="11"/>
    </row>
    <row r="1090" spans="6:6" ht="12.75">
      <c r="F1090" s="11"/>
    </row>
    <row r="1091" spans="6:6" ht="12.75">
      <c r="F1091" s="11"/>
    </row>
    <row r="1092" spans="6:6" ht="12.75">
      <c r="F1092" s="11"/>
    </row>
    <row r="1093" spans="6:6" ht="12.75">
      <c r="F1093" s="11"/>
    </row>
    <row r="1094" spans="6:6" ht="12.75">
      <c r="F1094" s="11"/>
    </row>
    <row r="1095" spans="6:6" ht="12.75">
      <c r="F1095" s="11"/>
    </row>
    <row r="1096" spans="6:6" ht="12.75">
      <c r="F1096" s="11"/>
    </row>
    <row r="1097" spans="6:6" ht="12.75">
      <c r="F1097" s="11"/>
    </row>
    <row r="1098" spans="6:6" ht="12.75">
      <c r="F1098" s="11"/>
    </row>
    <row r="1099" spans="6:6" ht="12.75">
      <c r="F1099" s="11"/>
    </row>
    <row r="1100" spans="6:6" ht="12.75">
      <c r="F1100" s="11"/>
    </row>
    <row r="1101" spans="6:6" ht="12.75">
      <c r="F1101" s="11"/>
    </row>
    <row r="1102" spans="6:6" ht="12.75">
      <c r="F1102" s="11"/>
    </row>
    <row r="1103" spans="6:6" ht="12.75">
      <c r="F1103" s="11"/>
    </row>
    <row r="1104" spans="6:6" ht="12.75">
      <c r="F1104" s="11"/>
    </row>
    <row r="1105" spans="6:6" ht="12.75">
      <c r="F1105" s="11"/>
    </row>
    <row r="1106" spans="6:6" ht="12.75">
      <c r="F1106" s="11"/>
    </row>
    <row r="1107" spans="6:6" ht="12.75">
      <c r="F1107" s="11"/>
    </row>
    <row r="1108" spans="6:6" ht="12.75">
      <c r="F1108" s="11"/>
    </row>
    <row r="1109" spans="6:6" ht="12.75">
      <c r="F1109" s="11"/>
    </row>
    <row r="1110" spans="6:6" ht="12.75">
      <c r="F1110" s="11"/>
    </row>
    <row r="1111" spans="6:6" ht="12.75">
      <c r="F1111" s="11"/>
    </row>
    <row r="1112" spans="6:6" ht="12.75">
      <c r="F1112" s="11"/>
    </row>
    <row r="1113" spans="6:6" ht="12.75">
      <c r="F1113" s="11"/>
    </row>
    <row r="1114" spans="6:6" ht="12.75">
      <c r="F1114" s="11"/>
    </row>
    <row r="1115" spans="6:6" ht="12.75">
      <c r="F1115" s="11"/>
    </row>
    <row r="1116" spans="6:6" ht="12.75">
      <c r="F1116" s="11"/>
    </row>
    <row r="1117" spans="6:6" ht="12.75">
      <c r="F1117" s="11"/>
    </row>
    <row r="1118" spans="6:6" ht="12.75">
      <c r="F1118" s="11"/>
    </row>
    <row r="1119" spans="6:6" ht="12.75">
      <c r="F1119" s="11"/>
    </row>
    <row r="1120" spans="6:6" ht="12.75">
      <c r="F1120" s="11"/>
    </row>
    <row r="1121" spans="6:6" ht="12.75">
      <c r="F1121" s="11"/>
    </row>
    <row r="1122" spans="6:6" ht="12.75">
      <c r="F1122" s="11"/>
    </row>
    <row r="1123" spans="6:6" ht="12.75">
      <c r="F1123" s="11"/>
    </row>
    <row r="1124" spans="6:6" ht="12.75">
      <c r="F1124" s="11"/>
    </row>
    <row r="1125" spans="6:6" ht="12.75">
      <c r="F1125" s="11"/>
    </row>
    <row r="1126" spans="6:6" ht="12.75">
      <c r="F1126" s="11"/>
    </row>
    <row r="1127" spans="6:6" ht="12.75">
      <c r="F1127" s="11"/>
    </row>
    <row r="1128" spans="6:6" ht="12.75">
      <c r="F1128" s="11"/>
    </row>
    <row r="1129" spans="6:6" ht="12.75">
      <c r="F1129" s="11"/>
    </row>
    <row r="1130" spans="6:6" ht="12.75">
      <c r="F1130" s="11"/>
    </row>
    <row r="1131" spans="6:6" ht="12.75">
      <c r="F1131" s="11"/>
    </row>
    <row r="1132" spans="6:6" ht="12.75">
      <c r="F1132" s="11"/>
    </row>
    <row r="1133" spans="6:6" ht="12.75">
      <c r="F1133" s="11"/>
    </row>
    <row r="1134" spans="6:6" ht="12.75">
      <c r="F1134" s="11"/>
    </row>
    <row r="1135" spans="6:6" ht="12.75">
      <c r="F1135" s="11"/>
    </row>
    <row r="1136" spans="6:6" ht="12.75">
      <c r="F1136" s="11"/>
    </row>
    <row r="1137" spans="6:6" ht="12.75">
      <c r="F1137" s="11"/>
    </row>
    <row r="1138" spans="6:6" ht="12.75">
      <c r="F1138" s="11"/>
    </row>
    <row r="1139" spans="6:6" ht="12.75">
      <c r="F1139" s="11"/>
    </row>
    <row r="1140" spans="6:6" ht="12.75">
      <c r="F1140" s="11"/>
    </row>
    <row r="1141" spans="6:6" ht="12.75">
      <c r="F1141" s="11"/>
    </row>
    <row r="1142" spans="6:6" ht="12.75">
      <c r="F1142" s="11"/>
    </row>
    <row r="1143" spans="6:6" ht="12.75">
      <c r="F1143" s="11"/>
    </row>
    <row r="1144" spans="6:6" ht="12.75">
      <c r="F1144" s="11"/>
    </row>
    <row r="1145" spans="6:6" ht="12.75">
      <c r="F1145" s="11"/>
    </row>
    <row r="1146" spans="6:6" ht="12.75">
      <c r="F1146" s="11"/>
    </row>
    <row r="1147" spans="6:6" ht="12.75">
      <c r="F1147" s="11"/>
    </row>
    <row r="1148" spans="6:6" ht="12.75">
      <c r="F1148" s="11"/>
    </row>
    <row r="1149" spans="6:6" ht="12.75">
      <c r="F1149" s="11"/>
    </row>
    <row r="1150" spans="6:6" ht="12.75">
      <c r="F1150" s="11"/>
    </row>
    <row r="1151" spans="6:6" ht="12.75">
      <c r="F1151" s="11"/>
    </row>
    <row r="1152" spans="6:6" ht="12.75">
      <c r="F1152" s="11"/>
    </row>
    <row r="1153" spans="6:6" ht="12.75">
      <c r="F1153" s="11"/>
    </row>
    <row r="1154" spans="6:6" ht="12.75">
      <c r="F1154" s="11"/>
    </row>
    <row r="1155" spans="6:6" ht="12.75">
      <c r="F1155" s="11"/>
    </row>
    <row r="1156" spans="6:6" ht="12.75">
      <c r="F1156" s="11"/>
    </row>
    <row r="1157" spans="6:6" ht="12.75">
      <c r="F1157" s="11"/>
    </row>
    <row r="1158" spans="6:6" ht="12.75">
      <c r="F1158" s="11"/>
    </row>
    <row r="1159" spans="6:6" ht="12.75">
      <c r="F1159" s="11"/>
    </row>
    <row r="1160" spans="6:6" ht="12.75">
      <c r="F1160" s="11"/>
    </row>
    <row r="1161" spans="6:6" ht="12.75">
      <c r="F1161" s="11"/>
    </row>
    <row r="1162" spans="6:6" ht="12.75">
      <c r="F1162" s="11"/>
    </row>
    <row r="1163" spans="6:6" ht="12.75">
      <c r="F1163" s="11"/>
    </row>
    <row r="1164" spans="6:6" ht="12.75">
      <c r="F1164" s="11"/>
    </row>
    <row r="1165" spans="6:6" ht="12.75">
      <c r="F1165" s="11"/>
    </row>
    <row r="1166" spans="6:6" ht="12.75">
      <c r="F1166" s="11"/>
    </row>
    <row r="1167" spans="6:6" ht="12.75">
      <c r="F1167" s="11"/>
    </row>
    <row r="1168" spans="6:6" ht="12.75">
      <c r="F1168" s="11"/>
    </row>
    <row r="1169" spans="6:6" ht="12.75">
      <c r="F1169" s="11"/>
    </row>
    <row r="1170" spans="6:6" ht="12.75">
      <c r="F1170" s="11"/>
    </row>
    <row r="1171" spans="6:6" ht="12.75">
      <c r="F1171" s="11"/>
    </row>
    <row r="1172" spans="6:6" ht="12.75">
      <c r="F1172" s="11"/>
    </row>
    <row r="1173" spans="6:6" ht="12.75">
      <c r="F1173" s="11"/>
    </row>
    <row r="1174" spans="6:6" ht="12.75">
      <c r="F1174" s="11"/>
    </row>
    <row r="1175" spans="6:6" ht="12.75">
      <c r="F1175" s="11"/>
    </row>
    <row r="1176" spans="6:6" ht="12.75">
      <c r="F1176" s="11"/>
    </row>
    <row r="1177" spans="6:6" ht="12.75">
      <c r="F1177" s="11"/>
    </row>
    <row r="1178" spans="6:6" ht="12.75">
      <c r="F1178" s="11"/>
    </row>
    <row r="1179" spans="6:6" ht="12.75">
      <c r="F1179" s="11"/>
    </row>
    <row r="1180" spans="6:6" ht="12.75">
      <c r="F1180" s="11"/>
    </row>
    <row r="1181" spans="6:6" ht="12.75">
      <c r="F1181" s="11"/>
    </row>
    <row r="1182" spans="6:6" ht="12.75">
      <c r="F1182" s="11"/>
    </row>
    <row r="1183" spans="6:6" ht="12.75">
      <c r="F1183" s="11"/>
    </row>
    <row r="1184" spans="6:6" ht="12.75">
      <c r="F1184" s="11"/>
    </row>
    <row r="1185" spans="6:6" ht="12.75">
      <c r="F1185" s="11"/>
    </row>
    <row r="1186" spans="6:6" ht="12.75">
      <c r="F1186" s="11"/>
    </row>
    <row r="1187" spans="6:6" ht="12.75">
      <c r="F1187" s="11"/>
    </row>
    <row r="1188" spans="6:6" ht="12.75">
      <c r="F1188" s="11"/>
    </row>
    <row r="1189" spans="6:6" ht="12.75">
      <c r="F1189" s="11"/>
    </row>
    <row r="1190" spans="6:6" ht="12.75">
      <c r="F1190" s="11"/>
    </row>
    <row r="1191" spans="6:6" ht="12.75">
      <c r="F1191" s="11"/>
    </row>
    <row r="1192" spans="6:6" ht="12.75">
      <c r="F1192" s="11"/>
    </row>
    <row r="1193" spans="6:6" ht="12.75">
      <c r="F1193" s="11"/>
    </row>
    <row r="1194" spans="6:6" ht="12.75">
      <c r="F1194" s="11"/>
    </row>
    <row r="1195" spans="6:6" ht="12.75">
      <c r="F1195" s="11"/>
    </row>
    <row r="1196" spans="6:6" ht="12.75">
      <c r="F1196" s="11"/>
    </row>
    <row r="1197" spans="6:6" ht="12.75">
      <c r="F1197" s="11"/>
    </row>
    <row r="1198" spans="6:6" ht="12.75">
      <c r="F1198" s="11"/>
    </row>
    <row r="1199" spans="6:6" ht="12.75">
      <c r="F1199" s="11"/>
    </row>
    <row r="1200" spans="6:6" ht="12.75">
      <c r="F1200" s="11"/>
    </row>
    <row r="1201" spans="6:6" ht="12.75">
      <c r="F1201" s="11"/>
    </row>
    <row r="1202" spans="6:6" ht="12.75">
      <c r="F1202" s="11"/>
    </row>
    <row r="1203" spans="6:6" ht="12.75">
      <c r="F1203" s="11"/>
    </row>
    <row r="1204" spans="6:6" ht="12.75">
      <c r="F1204" s="11"/>
    </row>
    <row r="1205" spans="6:6" ht="12.75">
      <c r="F1205" s="11"/>
    </row>
    <row r="1206" spans="6:6" ht="12.75">
      <c r="F1206" s="11"/>
    </row>
    <row r="1207" spans="6:6" ht="12.75">
      <c r="F1207" s="11"/>
    </row>
    <row r="1208" spans="6:6" ht="12.75">
      <c r="F1208" s="11"/>
    </row>
    <row r="1209" spans="6:6" ht="12.75">
      <c r="F1209" s="11"/>
    </row>
    <row r="1210" spans="6:6" ht="12.75">
      <c r="F1210" s="11"/>
    </row>
    <row r="1211" spans="6:6" ht="12.75">
      <c r="F1211" s="11"/>
    </row>
    <row r="1212" spans="6:6" ht="12.75">
      <c r="F1212" s="11"/>
    </row>
    <row r="1213" spans="6:6" ht="12.75">
      <c r="F1213" s="11"/>
    </row>
    <row r="1214" spans="6:6" ht="12.75">
      <c r="F1214" s="11"/>
    </row>
    <row r="1215" spans="6:6" ht="12.75">
      <c r="F1215" s="11"/>
    </row>
    <row r="1216" spans="6:6" ht="12.75">
      <c r="F1216" s="11"/>
    </row>
    <row r="1217" spans="6:6" ht="12.75">
      <c r="F1217" s="11"/>
    </row>
    <row r="1218" spans="6:6" ht="12.75">
      <c r="F1218" s="11"/>
    </row>
    <row r="1219" spans="6:6" ht="12.75">
      <c r="F1219" s="11"/>
    </row>
    <row r="1220" spans="6:6" ht="12.75">
      <c r="F1220" s="11"/>
    </row>
    <row r="1221" spans="6:6" ht="12.75">
      <c r="F1221" s="11"/>
    </row>
    <row r="1222" spans="6:6" ht="12.75">
      <c r="F1222" s="11"/>
    </row>
    <row r="1223" spans="6:6" ht="12.75">
      <c r="F1223" s="11"/>
    </row>
    <row r="1224" spans="6:6" ht="12.75">
      <c r="F1224" s="11"/>
    </row>
    <row r="1225" spans="6:6" ht="12.75">
      <c r="F1225" s="11"/>
    </row>
    <row r="1226" spans="6:6" ht="12.75">
      <c r="F1226" s="11"/>
    </row>
    <row r="1227" spans="6:6" ht="12.75">
      <c r="F1227" s="11"/>
    </row>
    <row r="1228" spans="6:6" ht="12.75">
      <c r="F1228" s="11"/>
    </row>
    <row r="1229" spans="6:6" ht="12.75">
      <c r="F1229" s="11"/>
    </row>
    <row r="1230" spans="6:6" ht="12.75">
      <c r="F1230" s="11"/>
    </row>
    <row r="1231" spans="6:6" ht="12.75">
      <c r="F1231" s="11"/>
    </row>
    <row r="1232" spans="6:6" ht="12.75">
      <c r="F1232" s="11"/>
    </row>
    <row r="1233" spans="6:6" ht="12.75">
      <c r="F1233" s="11"/>
    </row>
    <row r="1234" spans="6:6" ht="12.75">
      <c r="F1234" s="11"/>
    </row>
    <row r="1235" spans="6:6" ht="12.75">
      <c r="F1235" s="11"/>
    </row>
    <row r="1236" spans="6:6" ht="12.75">
      <c r="F1236" s="11"/>
    </row>
    <row r="1237" spans="6:6" ht="12.75">
      <c r="F1237" s="11"/>
    </row>
    <row r="1238" spans="6:6" ht="12.75">
      <c r="F1238" s="11"/>
    </row>
    <row r="1239" spans="6:6" ht="12.75">
      <c r="F1239" s="11"/>
    </row>
    <row r="1240" spans="6:6" ht="12.75">
      <c r="F1240" s="11"/>
    </row>
    <row r="1241" spans="6:6" ht="12.75">
      <c r="F1241" s="11"/>
    </row>
    <row r="1242" spans="6:6" ht="12.75">
      <c r="F1242" s="11"/>
    </row>
    <row r="1243" spans="6:6" ht="12.75">
      <c r="F1243" s="11"/>
    </row>
    <row r="1244" spans="6:6" ht="12.75">
      <c r="F1244" s="11"/>
    </row>
    <row r="1245" spans="6:6" ht="12.75">
      <c r="F1245" s="11"/>
    </row>
    <row r="1246" spans="6:6" ht="12.75">
      <c r="F1246" s="11"/>
    </row>
    <row r="1247" spans="6:6" ht="12.75">
      <c r="F1247" s="11"/>
    </row>
    <row r="1248" spans="6:6" ht="12.75">
      <c r="F1248" s="11"/>
    </row>
    <row r="1249" spans="6:6" ht="12.75">
      <c r="F1249" s="11"/>
    </row>
    <row r="1250" spans="6:6" ht="12.75">
      <c r="F1250" s="11"/>
    </row>
    <row r="1251" spans="6:6" ht="12.75">
      <c r="F1251" s="11"/>
    </row>
    <row r="1252" spans="6:6" ht="12.75">
      <c r="F1252" s="11"/>
    </row>
    <row r="1253" spans="6:6" ht="12.75">
      <c r="F1253" s="11"/>
    </row>
    <row r="1254" spans="6:6" ht="12.75">
      <c r="F1254" s="11"/>
    </row>
    <row r="1255" spans="6:6" ht="12.75">
      <c r="F1255" s="11"/>
    </row>
    <row r="1256" spans="6:6" ht="12.75">
      <c r="F1256" s="11"/>
    </row>
    <row r="1257" spans="6:6" ht="12.75">
      <c r="F1257" s="11"/>
    </row>
    <row r="1258" spans="6:6" ht="12.75">
      <c r="F1258" s="11"/>
    </row>
    <row r="1259" spans="6:6" ht="12.75">
      <c r="F1259" s="11"/>
    </row>
    <row r="1260" spans="6:6" ht="12.75">
      <c r="F1260" s="11"/>
    </row>
    <row r="1261" spans="6:6" ht="12.75">
      <c r="F1261" s="11"/>
    </row>
    <row r="1262" spans="6:6" ht="12.75">
      <c r="F1262" s="11"/>
    </row>
    <row r="1263" spans="6:6" ht="12.75">
      <c r="F1263" s="11"/>
    </row>
    <row r="1264" spans="6:6" ht="12.75">
      <c r="F1264" s="11"/>
    </row>
    <row r="1265" spans="6:6" ht="12.75">
      <c r="F1265" s="11"/>
    </row>
    <row r="1266" spans="6:6" ht="12.75">
      <c r="F1266" s="11"/>
    </row>
    <row r="1267" spans="6:6" ht="12.75">
      <c r="F1267" s="11"/>
    </row>
    <row r="1268" spans="6:6" ht="12.75">
      <c r="F1268" s="11"/>
    </row>
    <row r="1269" spans="6:6" ht="12.75">
      <c r="F1269" s="11"/>
    </row>
    <row r="1270" spans="6:6" ht="12.75">
      <c r="F1270" s="11"/>
    </row>
    <row r="1271" spans="6:6" ht="12.75">
      <c r="F1271" s="11"/>
    </row>
    <row r="1272" spans="6:6" ht="12.75">
      <c r="F1272" s="11"/>
    </row>
    <row r="1273" spans="6:6" ht="12.75">
      <c r="F1273" s="11"/>
    </row>
    <row r="1274" spans="6:6" ht="12.75">
      <c r="F1274" s="11"/>
    </row>
    <row r="1275" spans="6:6" ht="12.75">
      <c r="F1275" s="11"/>
    </row>
    <row r="1276" spans="6:6" ht="12.75">
      <c r="F1276" s="11"/>
    </row>
    <row r="1277" spans="6:6" ht="12.75">
      <c r="F1277" s="11"/>
    </row>
    <row r="1278" spans="6:6" ht="12.75">
      <c r="F1278" s="11"/>
    </row>
    <row r="1279" spans="6:6" ht="12.75">
      <c r="F1279" s="11"/>
    </row>
    <row r="1280" spans="6:6" ht="12.75">
      <c r="F1280" s="11"/>
    </row>
    <row r="1281" spans="6:6" ht="12.75">
      <c r="F1281" s="11"/>
    </row>
    <row r="1282" spans="6:6" ht="12.75">
      <c r="F1282" s="11"/>
    </row>
    <row r="1283" spans="6:6" ht="12.75">
      <c r="F1283" s="11"/>
    </row>
    <row r="1284" spans="6:6" ht="12.75">
      <c r="F1284" s="11"/>
    </row>
    <row r="1285" spans="6:6" ht="12.75">
      <c r="F1285" s="11"/>
    </row>
    <row r="1286" spans="6:6" ht="12.75">
      <c r="F1286" s="11"/>
    </row>
    <row r="1287" spans="6:6" ht="12.75">
      <c r="F1287" s="11"/>
    </row>
    <row r="1288" spans="6:6" ht="12.75">
      <c r="F1288" s="11"/>
    </row>
    <row r="1289" spans="6:6" ht="12.75">
      <c r="F1289" s="11"/>
    </row>
    <row r="1290" spans="6:6" ht="12.75">
      <c r="F1290" s="11"/>
    </row>
    <row r="1291" spans="6:6" ht="12.75">
      <c r="F1291" s="11"/>
    </row>
    <row r="1292" spans="6:6" ht="12.75">
      <c r="F1292" s="11"/>
    </row>
    <row r="1293" spans="6:6" ht="12.75">
      <c r="F1293" s="11"/>
    </row>
    <row r="1294" spans="6:6" ht="12.75">
      <c r="F1294" s="11"/>
    </row>
    <row r="1295" spans="6:6" ht="12.75">
      <c r="F1295" s="11"/>
    </row>
    <row r="1296" spans="6:6" ht="12.75">
      <c r="F1296" s="11"/>
    </row>
    <row r="1297" spans="6:6" ht="12.75">
      <c r="F1297" s="11"/>
    </row>
    <row r="1298" spans="6:6" ht="12.75">
      <c r="F1298" s="11"/>
    </row>
    <row r="1299" spans="6:6" ht="12.75">
      <c r="F1299" s="11"/>
    </row>
    <row r="1300" spans="6:6" ht="12.75">
      <c r="F1300" s="11"/>
    </row>
    <row r="1301" spans="6:6" ht="12.75">
      <c r="F1301" s="11"/>
    </row>
    <row r="1302" spans="6:6" ht="12.75">
      <c r="F1302" s="11"/>
    </row>
    <row r="1303" spans="6:6" ht="12.75">
      <c r="F1303" s="11"/>
    </row>
    <row r="1304" spans="6:6" ht="12.75">
      <c r="F1304" s="11"/>
    </row>
    <row r="1305" spans="6:6" ht="12.75">
      <c r="F1305" s="11"/>
    </row>
    <row r="1306" spans="6:6" ht="12.75">
      <c r="F1306" s="11"/>
    </row>
    <row r="1307" spans="6:6" ht="12.75">
      <c r="F1307" s="11"/>
    </row>
    <row r="1308" spans="6:6" ht="12.75">
      <c r="F1308" s="11"/>
    </row>
    <row r="1309" spans="6:6" ht="12.75">
      <c r="F1309" s="11"/>
    </row>
    <row r="1310" spans="6:6" ht="12.75">
      <c r="F1310" s="11"/>
    </row>
    <row r="1311" spans="6:6" ht="12.75">
      <c r="F1311" s="11"/>
    </row>
    <row r="1312" spans="6:6" ht="12.75">
      <c r="F1312" s="11"/>
    </row>
    <row r="1313" spans="6:6" ht="12.75">
      <c r="F1313" s="11"/>
    </row>
    <row r="1314" spans="6:6" ht="12.75">
      <c r="F1314" s="11"/>
    </row>
    <row r="1315" spans="6:6" ht="12.75">
      <c r="F1315" s="11"/>
    </row>
    <row r="1316" spans="6:6" ht="12.75">
      <c r="F1316" s="11"/>
    </row>
    <row r="1317" spans="6:6" ht="12.75">
      <c r="F1317" s="11"/>
    </row>
    <row r="1318" spans="6:6" ht="12.75">
      <c r="F1318" s="11"/>
    </row>
    <row r="1319" spans="6:6" ht="12.75">
      <c r="F1319" s="11"/>
    </row>
    <row r="1320" spans="6:6" ht="12.75">
      <c r="F1320" s="11"/>
    </row>
    <row r="1321" spans="6:6" ht="12.75">
      <c r="F1321" s="11"/>
    </row>
    <row r="1322" spans="6:6" ht="12.75">
      <c r="F1322" s="11"/>
    </row>
    <row r="1323" spans="6:6" ht="12.75">
      <c r="F1323" s="11"/>
    </row>
    <row r="1324" spans="6:6" ht="12.75">
      <c r="F1324" s="11"/>
    </row>
    <row r="1325" spans="6:6" ht="12.75">
      <c r="F1325" s="11"/>
    </row>
    <row r="1326" spans="6:6" ht="12.75">
      <c r="F1326" s="11"/>
    </row>
    <row r="1327" spans="6:6" ht="12.75">
      <c r="F1327" s="11"/>
    </row>
    <row r="1328" spans="6:6" ht="12.75">
      <c r="F1328" s="11"/>
    </row>
    <row r="1329" spans="6:6" ht="12.75">
      <c r="F1329" s="11"/>
    </row>
    <row r="1330" spans="6:6" ht="12.75">
      <c r="F1330" s="11"/>
    </row>
    <row r="1331" spans="6:6" ht="12.75">
      <c r="F1331" s="11"/>
    </row>
    <row r="1332" spans="6:6" ht="12.75">
      <c r="F1332" s="11"/>
    </row>
    <row r="1333" spans="6:6" ht="12.75">
      <c r="F1333" s="11"/>
    </row>
    <row r="1334" spans="6:6" ht="12.75">
      <c r="F1334" s="11"/>
    </row>
    <row r="1335" spans="6:6" ht="12.75">
      <c r="F1335" s="11"/>
    </row>
    <row r="1336" spans="6:6" ht="12.75">
      <c r="F1336" s="11"/>
    </row>
    <row r="1337" spans="6:6" ht="12.75">
      <c r="F1337" s="11"/>
    </row>
    <row r="1338" spans="6:6" ht="12.75">
      <c r="F1338" s="11"/>
    </row>
    <row r="1339" spans="6:6" ht="12.75">
      <c r="F1339" s="11"/>
    </row>
    <row r="1340" spans="6:6" ht="12.75">
      <c r="F1340" s="11"/>
    </row>
    <row r="1341" spans="6:6" ht="12.75">
      <c r="F1341" s="11"/>
    </row>
    <row r="1342" spans="6:6" ht="12.75">
      <c r="F1342" s="11"/>
    </row>
    <row r="1343" spans="6:6" ht="12.75">
      <c r="F1343" s="11"/>
    </row>
    <row r="1344" spans="6:6" ht="12.75">
      <c r="F1344" s="11"/>
    </row>
    <row r="1345" spans="6:6" ht="12.75">
      <c r="F1345" s="11"/>
    </row>
    <row r="1346" spans="6:6" ht="12.75">
      <c r="F1346" s="11"/>
    </row>
    <row r="1347" spans="6:6" ht="12.75">
      <c r="F1347" s="11"/>
    </row>
    <row r="1348" spans="6:6" ht="12.75">
      <c r="F1348" s="11"/>
    </row>
    <row r="1349" spans="6:6" ht="12.75">
      <c r="F1349" s="11"/>
    </row>
    <row r="1350" spans="6:6" ht="12.75">
      <c r="F1350" s="11"/>
    </row>
    <row r="1351" spans="6:6" ht="12.75">
      <c r="F1351" s="11"/>
    </row>
    <row r="1352" spans="6:6" ht="12.75">
      <c r="F1352" s="11"/>
    </row>
    <row r="1353" spans="6:6" ht="12.75">
      <c r="F1353" s="11"/>
    </row>
    <row r="1354" spans="6:6" ht="12.75">
      <c r="F1354" s="11"/>
    </row>
    <row r="1355" spans="6:6" ht="12.75">
      <c r="F1355" s="11"/>
    </row>
    <row r="1356" spans="6:6" ht="12.75">
      <c r="F1356" s="11"/>
    </row>
    <row r="1357" spans="6:6" ht="12.75">
      <c r="F1357" s="11"/>
    </row>
    <row r="1358" spans="6:6" ht="12.75">
      <c r="F1358" s="11"/>
    </row>
    <row r="1359" spans="6:6" ht="12.75">
      <c r="F1359" s="11"/>
    </row>
    <row r="1360" spans="6:6" ht="12.75">
      <c r="F1360" s="11"/>
    </row>
    <row r="1361" spans="6:6" ht="12.75">
      <c r="F1361" s="11"/>
    </row>
    <row r="1362" spans="6:6" ht="12.75">
      <c r="F1362" s="11"/>
    </row>
    <row r="1363" spans="6:6" ht="12.75">
      <c r="F1363" s="11"/>
    </row>
    <row r="1364" spans="6:6" ht="12.75">
      <c r="F1364" s="11"/>
    </row>
    <row r="1365" spans="6:6" ht="12.75">
      <c r="F1365" s="11"/>
    </row>
    <row r="1366" spans="6:6" ht="12.75">
      <c r="F1366" s="11"/>
    </row>
    <row r="1367" spans="6:6" ht="12.75">
      <c r="F1367" s="11"/>
    </row>
    <row r="1368" spans="6:6" ht="12.75">
      <c r="F1368" s="11"/>
    </row>
    <row r="1369" spans="6:6" ht="12.75">
      <c r="F1369" s="11"/>
    </row>
    <row r="1370" spans="6:6" ht="12.75">
      <c r="F1370" s="11"/>
    </row>
    <row r="1371" spans="6:6" ht="12.75">
      <c r="F1371" s="11"/>
    </row>
    <row r="1372" spans="6:6" ht="12.75">
      <c r="F1372" s="11"/>
    </row>
    <row r="1373" spans="6:6" ht="12.75">
      <c r="F1373" s="11"/>
    </row>
    <row r="1374" spans="6:6" ht="12.75">
      <c r="F1374" s="11"/>
    </row>
    <row r="1375" spans="6:6" ht="12.75">
      <c r="F1375" s="11"/>
    </row>
    <row r="1376" spans="6:6" ht="12.75">
      <c r="F1376" s="11"/>
    </row>
    <row r="1377" spans="6:6" ht="12.75">
      <c r="F1377" s="11"/>
    </row>
    <row r="1378" spans="6:6" ht="12.75">
      <c r="F1378" s="11"/>
    </row>
    <row r="1379" spans="6:6" ht="12.75">
      <c r="F1379" s="11"/>
    </row>
    <row r="1380" spans="6:6" ht="12.75">
      <c r="F1380" s="11"/>
    </row>
    <row r="1381" spans="6:6" ht="12.75">
      <c r="F1381" s="11"/>
    </row>
    <row r="1382" spans="6:6" ht="12.75">
      <c r="F1382" s="11"/>
    </row>
    <row r="1383" spans="6:6" ht="12.75">
      <c r="F1383" s="11"/>
    </row>
    <row r="1384" spans="6:6" ht="12.75">
      <c r="F1384" s="11"/>
    </row>
    <row r="1385" spans="6:6" ht="12.75">
      <c r="F1385" s="11"/>
    </row>
    <row r="1386" spans="6:6" ht="12.75">
      <c r="F1386" s="11"/>
    </row>
    <row r="1387" spans="6:6" ht="12.75">
      <c r="F1387" s="11"/>
    </row>
    <row r="1388" spans="6:6" ht="12.75">
      <c r="F1388" s="11"/>
    </row>
    <row r="1389" spans="6:6" ht="12.75">
      <c r="F1389" s="11"/>
    </row>
    <row r="1390" spans="6:6" ht="12.75">
      <c r="F1390" s="11"/>
    </row>
    <row r="1391" spans="6:6" ht="12.75">
      <c r="F1391" s="11"/>
    </row>
    <row r="1392" spans="6:6" ht="12.75">
      <c r="F1392" s="11"/>
    </row>
    <row r="1393" spans="6:6" ht="12.75">
      <c r="F1393" s="11"/>
    </row>
    <row r="1394" spans="6:6" ht="12.75">
      <c r="F1394" s="11"/>
    </row>
    <row r="1395" spans="6:6" ht="12.75">
      <c r="F1395" s="11"/>
    </row>
    <row r="1396" spans="6:6" ht="12.75">
      <c r="F1396" s="11"/>
    </row>
    <row r="1397" spans="6:6" ht="12.75">
      <c r="F1397" s="11"/>
    </row>
    <row r="1398" spans="6:6" ht="12.75">
      <c r="F1398" s="11"/>
    </row>
    <row r="1399" spans="6:6" ht="12.75">
      <c r="F1399" s="11"/>
    </row>
    <row r="1400" spans="6:6" ht="12.75">
      <c r="F1400" s="11"/>
    </row>
    <row r="1401" spans="6:6" ht="12.75">
      <c r="F1401" s="11"/>
    </row>
    <row r="1402" spans="6:6" ht="12.75">
      <c r="F1402" s="11"/>
    </row>
    <row r="1403" spans="6:6" ht="12.75">
      <c r="F1403" s="11"/>
    </row>
    <row r="1404" spans="6:6" ht="12.75">
      <c r="F1404" s="11"/>
    </row>
    <row r="1405" spans="6:6" ht="12.75">
      <c r="F1405" s="11"/>
    </row>
    <row r="1406" spans="6:6" ht="12.75">
      <c r="F1406" s="11"/>
    </row>
    <row r="1407" spans="6:6" ht="12.75">
      <c r="F1407" s="11"/>
    </row>
    <row r="1408" spans="6:6" ht="12.75">
      <c r="F1408" s="11"/>
    </row>
    <row r="1409" spans="6:6" ht="12.75">
      <c r="F1409" s="11"/>
    </row>
    <row r="1410" spans="6:6" ht="12.75">
      <c r="F1410" s="11"/>
    </row>
    <row r="1411" spans="6:6" ht="12.75">
      <c r="F1411" s="11"/>
    </row>
    <row r="1412" spans="6:6" ht="12.75">
      <c r="F1412" s="11"/>
    </row>
    <row r="1413" spans="6:6" ht="12.75">
      <c r="F1413" s="11"/>
    </row>
    <row r="1414" spans="6:6" ht="12.75">
      <c r="F1414" s="11"/>
    </row>
    <row r="1415" spans="6:6" ht="12.75">
      <c r="F1415" s="11"/>
    </row>
    <row r="1416" spans="6:6" ht="12.75">
      <c r="F1416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"/>
  <sheetViews>
    <sheetView workbookViewId="0"/>
  </sheetViews>
  <sheetFormatPr defaultColWidth="14.42578125" defaultRowHeight="15.75" customHeight="1"/>
  <sheetData>
    <row r="1" spans="1:8">
      <c r="A1" s="4" t="s">
        <v>15</v>
      </c>
      <c r="B1" s="4" t="s">
        <v>0</v>
      </c>
      <c r="C1" s="4" t="s">
        <v>13</v>
      </c>
      <c r="D1" s="4" t="s">
        <v>2</v>
      </c>
      <c r="E1" s="4" t="s">
        <v>3</v>
      </c>
      <c r="F1" s="4" t="s">
        <v>4</v>
      </c>
      <c r="G1" s="4" t="s">
        <v>16</v>
      </c>
      <c r="H1" s="16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10" sqref="F10"/>
    </sheetView>
  </sheetViews>
  <sheetFormatPr defaultColWidth="14.42578125" defaultRowHeight="15.75" customHeight="1"/>
  <sheetData>
    <row r="1" spans="1:6">
      <c r="A1" s="4" t="s">
        <v>0</v>
      </c>
      <c r="B1" s="4" t="s">
        <v>13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>
        <v>0.36237268518518517</v>
      </c>
      <c r="B2" s="4" t="s">
        <v>17</v>
      </c>
      <c r="C2" s="4" t="s">
        <v>7</v>
      </c>
      <c r="D2" s="12">
        <v>67.83</v>
      </c>
      <c r="E2" s="12">
        <v>63</v>
      </c>
      <c r="F2" s="13">
        <f t="shared" ref="F2:F9" si="0">IF(C2="Продажа",D2*E2,-D2*E2)</f>
        <v>4273.29</v>
      </c>
    </row>
    <row r="3" spans="1:6">
      <c r="A3" s="7">
        <v>0.36041666666666666</v>
      </c>
      <c r="B3" s="4" t="s">
        <v>17</v>
      </c>
      <c r="C3" s="4" t="s">
        <v>8</v>
      </c>
      <c r="D3" s="12">
        <v>67.819999999999993</v>
      </c>
      <c r="E3" s="12">
        <v>163</v>
      </c>
      <c r="F3" s="13">
        <f t="shared" si="0"/>
        <v>-11054.659999999998</v>
      </c>
    </row>
    <row r="4" spans="1:6">
      <c r="A4" s="7">
        <v>0.31060185185185185</v>
      </c>
      <c r="B4" s="4" t="s">
        <v>18</v>
      </c>
      <c r="C4" s="4" t="s">
        <v>7</v>
      </c>
      <c r="D4" s="12">
        <v>1730.4</v>
      </c>
      <c r="E4" s="12">
        <v>19</v>
      </c>
      <c r="F4" s="13">
        <f t="shared" si="0"/>
        <v>32877.599999999999</v>
      </c>
    </row>
    <row r="5" spans="1:6">
      <c r="A5" s="7">
        <v>0.30989583333333331</v>
      </c>
      <c r="B5" s="4" t="s">
        <v>18</v>
      </c>
      <c r="C5" s="4" t="s">
        <v>7</v>
      </c>
      <c r="D5" s="12">
        <v>1730.2</v>
      </c>
      <c r="E5" s="12">
        <v>1</v>
      </c>
      <c r="F5" s="13">
        <f t="shared" si="0"/>
        <v>1730.2</v>
      </c>
    </row>
    <row r="6" spans="1:6">
      <c r="A6" s="7">
        <v>0.30989583333333331</v>
      </c>
      <c r="B6" s="4" t="s">
        <v>18</v>
      </c>
      <c r="C6" s="4" t="s">
        <v>7</v>
      </c>
      <c r="D6" s="12">
        <v>1730.2</v>
      </c>
      <c r="E6" s="12">
        <v>17</v>
      </c>
      <c r="F6" s="13">
        <f t="shared" si="0"/>
        <v>29413.4</v>
      </c>
    </row>
    <row r="7" spans="1:6">
      <c r="A7" s="7">
        <v>0.30989583333333331</v>
      </c>
      <c r="B7" s="4" t="s">
        <v>18</v>
      </c>
      <c r="C7" s="4" t="s">
        <v>7</v>
      </c>
      <c r="D7" s="12">
        <v>1730.2</v>
      </c>
      <c r="E7" s="12">
        <v>3</v>
      </c>
      <c r="F7" s="13">
        <f t="shared" si="0"/>
        <v>5190.6000000000004</v>
      </c>
    </row>
    <row r="8" spans="1:6">
      <c r="A8" s="7">
        <v>0.30989583333333331</v>
      </c>
      <c r="B8" s="4" t="s">
        <v>18</v>
      </c>
      <c r="C8" s="4" t="s">
        <v>7</v>
      </c>
      <c r="D8" s="12">
        <v>1730.2</v>
      </c>
      <c r="E8" s="12">
        <v>6</v>
      </c>
      <c r="F8" s="13">
        <f t="shared" si="0"/>
        <v>10381.200000000001</v>
      </c>
    </row>
    <row r="9" spans="1:6">
      <c r="A9" s="7">
        <v>0.30836805555555558</v>
      </c>
      <c r="B9" s="4" t="s">
        <v>18</v>
      </c>
      <c r="C9" s="4" t="s">
        <v>8</v>
      </c>
      <c r="D9" s="12">
        <v>1728.8</v>
      </c>
      <c r="E9" s="12">
        <v>46</v>
      </c>
      <c r="F9" s="13">
        <f t="shared" si="0"/>
        <v>-79524.800000000003</v>
      </c>
    </row>
    <row r="10" spans="1:6">
      <c r="D10" s="15"/>
      <c r="F10" s="3">
        <f>SUM(F2:F9)</f>
        <v>-6713.1699999999983</v>
      </c>
    </row>
    <row r="11" spans="1:6">
      <c r="D11" s="15"/>
      <c r="F11" s="11"/>
    </row>
    <row r="12" spans="1:6">
      <c r="D12" s="15"/>
      <c r="F12" s="11"/>
    </row>
    <row r="13" spans="1:6">
      <c r="D13" s="15"/>
      <c r="F13" s="11"/>
    </row>
    <row r="14" spans="1:6">
      <c r="D14" s="15"/>
      <c r="F14" s="11"/>
    </row>
    <row r="15" spans="1:6">
      <c r="D15" s="15"/>
      <c r="F15" s="11"/>
    </row>
    <row r="16" spans="1:6">
      <c r="D16" s="15"/>
      <c r="F16" s="11"/>
    </row>
    <row r="17" spans="4:6">
      <c r="D17" s="15"/>
      <c r="F17" s="11"/>
    </row>
    <row r="18" spans="4:6">
      <c r="D18" s="15"/>
      <c r="F18" s="11"/>
    </row>
    <row r="19" spans="4:6">
      <c r="D19" s="15"/>
      <c r="F19" s="11"/>
    </row>
    <row r="20" spans="4:6">
      <c r="D20" s="15"/>
      <c r="F20" s="11"/>
    </row>
    <row r="21" spans="4:6">
      <c r="D21" s="15"/>
      <c r="F21" s="11"/>
    </row>
    <row r="22" spans="4:6">
      <c r="D22" s="15"/>
      <c r="F22" s="11"/>
    </row>
    <row r="23" spans="4:6">
      <c r="D23" s="15"/>
      <c r="F23" s="11"/>
    </row>
    <row r="24" spans="4:6">
      <c r="D24" s="15"/>
      <c r="F24" s="11"/>
    </row>
    <row r="25" spans="4:6">
      <c r="D25" s="15"/>
      <c r="F25" s="11"/>
    </row>
    <row r="26" spans="4:6">
      <c r="D26" s="15"/>
      <c r="F26" s="11"/>
    </row>
    <row r="27" spans="4:6">
      <c r="D27" s="15"/>
      <c r="F27" s="11"/>
    </row>
    <row r="28" spans="4:6">
      <c r="D28" s="15"/>
      <c r="F28" s="11"/>
    </row>
    <row r="29" spans="4:6">
      <c r="D29" s="15"/>
      <c r="F29" s="11"/>
    </row>
    <row r="30" spans="4:6">
      <c r="D30" s="15"/>
      <c r="F30" s="11"/>
    </row>
    <row r="31" spans="4:6">
      <c r="D31" s="15"/>
      <c r="F31" s="11"/>
    </row>
    <row r="32" spans="4:6">
      <c r="D32" s="15"/>
      <c r="F32" s="11"/>
    </row>
    <row r="33" spans="4:6">
      <c r="D33" s="15"/>
      <c r="F33" s="11"/>
    </row>
    <row r="34" spans="4:6">
      <c r="D34" s="15"/>
      <c r="F34" s="11"/>
    </row>
    <row r="35" spans="4:6">
      <c r="D35" s="15"/>
      <c r="F35" s="11"/>
    </row>
    <row r="36" spans="4:6">
      <c r="D36" s="15"/>
      <c r="F36" s="11"/>
    </row>
    <row r="37" spans="4:6">
      <c r="D37" s="15"/>
      <c r="F37" s="11"/>
    </row>
    <row r="38" spans="4:6">
      <c r="D38" s="15"/>
      <c r="F38" s="11"/>
    </row>
    <row r="39" spans="4:6">
      <c r="D39" s="15"/>
      <c r="F39" s="11"/>
    </row>
    <row r="40" spans="4:6">
      <c r="D40" s="15"/>
      <c r="F40" s="11"/>
    </row>
    <row r="41" spans="4:6">
      <c r="D41" s="15"/>
      <c r="F41" s="11"/>
    </row>
    <row r="42" spans="4:6">
      <c r="D42" s="15"/>
      <c r="F42" s="11"/>
    </row>
    <row r="43" spans="4:6">
      <c r="D43" s="15"/>
      <c r="F43" s="11"/>
    </row>
    <row r="44" spans="4:6">
      <c r="D44" s="15"/>
      <c r="F44" s="11"/>
    </row>
    <row r="45" spans="4:6">
      <c r="D45" s="15"/>
      <c r="F45" s="11"/>
    </row>
    <row r="46" spans="4:6">
      <c r="D46" s="15"/>
      <c r="F46" s="11"/>
    </row>
    <row r="47" spans="4:6">
      <c r="D47" s="15"/>
      <c r="F47" s="11"/>
    </row>
    <row r="48" spans="4:6">
      <c r="D48" s="15"/>
      <c r="F48" s="11"/>
    </row>
    <row r="49" spans="4:6">
      <c r="D49" s="15"/>
      <c r="F49" s="11"/>
    </row>
    <row r="50" spans="4:6">
      <c r="D50" s="15"/>
      <c r="F50" s="11"/>
    </row>
    <row r="51" spans="4:6">
      <c r="D51" s="15"/>
      <c r="F51" s="11"/>
    </row>
    <row r="52" spans="4:6">
      <c r="D52" s="15"/>
      <c r="F52" s="11"/>
    </row>
    <row r="53" spans="4:6">
      <c r="D53" s="15"/>
      <c r="F53" s="11"/>
    </row>
    <row r="54" spans="4:6">
      <c r="D54" s="15"/>
      <c r="F54" s="11"/>
    </row>
    <row r="55" spans="4:6">
      <c r="D55" s="15"/>
      <c r="F55" s="11"/>
    </row>
    <row r="56" spans="4:6">
      <c r="D56" s="15"/>
      <c r="F56" s="11"/>
    </row>
    <row r="57" spans="4:6">
      <c r="D57" s="15"/>
      <c r="F57" s="11"/>
    </row>
    <row r="58" spans="4:6">
      <c r="D58" s="15"/>
      <c r="F58" s="11"/>
    </row>
    <row r="59" spans="4:6">
      <c r="D59" s="15"/>
      <c r="F59" s="11"/>
    </row>
    <row r="60" spans="4:6">
      <c r="D60" s="15"/>
      <c r="F60" s="11"/>
    </row>
    <row r="61" spans="4:6">
      <c r="D61" s="15"/>
      <c r="F61" s="11"/>
    </row>
    <row r="62" spans="4:6">
      <c r="D62" s="15"/>
      <c r="F62" s="11"/>
    </row>
    <row r="63" spans="4:6">
      <c r="D63" s="15"/>
      <c r="F63" s="11"/>
    </row>
    <row r="64" spans="4:6">
      <c r="D64" s="15"/>
      <c r="F64" s="11"/>
    </row>
    <row r="65" spans="4:6">
      <c r="D65" s="15"/>
      <c r="F65" s="11"/>
    </row>
    <row r="66" spans="4:6">
      <c r="D66" s="15"/>
      <c r="F66" s="11"/>
    </row>
    <row r="67" spans="4:6">
      <c r="D67" s="15"/>
      <c r="F67" s="11"/>
    </row>
    <row r="68" spans="4:6">
      <c r="D68" s="15"/>
      <c r="F68" s="11"/>
    </row>
    <row r="69" spans="4:6">
      <c r="D69" s="15"/>
      <c r="F69" s="11"/>
    </row>
    <row r="70" spans="4:6">
      <c r="D70" s="15"/>
      <c r="F70" s="11"/>
    </row>
    <row r="71" spans="4:6">
      <c r="D71" s="15"/>
      <c r="F71" s="11"/>
    </row>
    <row r="72" spans="4:6">
      <c r="D72" s="15"/>
      <c r="F72" s="11"/>
    </row>
    <row r="73" spans="4:6">
      <c r="D73" s="15"/>
      <c r="F73" s="11"/>
    </row>
    <row r="74" spans="4:6">
      <c r="D74" s="15"/>
      <c r="F74" s="11"/>
    </row>
    <row r="75" spans="4:6">
      <c r="D75" s="15"/>
      <c r="F75" s="11"/>
    </row>
    <row r="76" spans="4:6">
      <c r="D76" s="15"/>
      <c r="F76" s="11"/>
    </row>
    <row r="77" spans="4:6">
      <c r="D77" s="15"/>
      <c r="F77" s="11"/>
    </row>
    <row r="78" spans="4:6">
      <c r="D78" s="15"/>
      <c r="F78" s="11"/>
    </row>
    <row r="79" spans="4:6">
      <c r="D79" s="15"/>
      <c r="F79" s="11"/>
    </row>
    <row r="80" spans="4:6">
      <c r="D80" s="15"/>
      <c r="F80" s="11"/>
    </row>
    <row r="81" spans="4:6">
      <c r="D81" s="15"/>
      <c r="F81" s="11"/>
    </row>
    <row r="82" spans="4:6">
      <c r="D82" s="15"/>
      <c r="F82" s="11"/>
    </row>
    <row r="83" spans="4:6">
      <c r="D83" s="15"/>
      <c r="F83" s="11"/>
    </row>
    <row r="84" spans="4:6">
      <c r="D84" s="15"/>
      <c r="F84" s="11"/>
    </row>
    <row r="85" spans="4:6">
      <c r="D85" s="15"/>
      <c r="F85" s="11"/>
    </row>
    <row r="86" spans="4:6">
      <c r="D86" s="15"/>
      <c r="F86" s="11"/>
    </row>
    <row r="87" spans="4:6">
      <c r="D87" s="15"/>
      <c r="F87" s="11"/>
    </row>
    <row r="88" spans="4:6">
      <c r="D88" s="15"/>
      <c r="F88" s="11"/>
    </row>
    <row r="89" spans="4:6">
      <c r="D89" s="15"/>
      <c r="F89" s="11"/>
    </row>
    <row r="90" spans="4:6">
      <c r="D90" s="15"/>
      <c r="F90" s="11"/>
    </row>
    <row r="91" spans="4:6">
      <c r="D91" s="15"/>
      <c r="F91" s="11"/>
    </row>
    <row r="92" spans="4:6">
      <c r="D92" s="15"/>
      <c r="F92" s="11"/>
    </row>
    <row r="93" spans="4:6">
      <c r="D93" s="15"/>
      <c r="F93" s="11"/>
    </row>
    <row r="94" spans="4:6">
      <c r="D94" s="15"/>
      <c r="F94" s="11"/>
    </row>
    <row r="95" spans="4:6">
      <c r="D95" s="15"/>
      <c r="F95" s="11"/>
    </row>
    <row r="96" spans="4:6">
      <c r="D96" s="15"/>
      <c r="F96" s="11"/>
    </row>
    <row r="97" spans="4:6">
      <c r="D97" s="15"/>
      <c r="F97" s="11"/>
    </row>
    <row r="98" spans="4:6">
      <c r="D98" s="15"/>
      <c r="F98" s="11"/>
    </row>
    <row r="99" spans="4:6">
      <c r="D99" s="15"/>
      <c r="F99" s="11"/>
    </row>
    <row r="100" spans="4:6">
      <c r="D100" s="15"/>
      <c r="F100" s="11"/>
    </row>
    <row r="101" spans="4:6">
      <c r="D101" s="15"/>
      <c r="F101" s="11"/>
    </row>
    <row r="102" spans="4:6">
      <c r="D102" s="15"/>
      <c r="F102" s="11"/>
    </row>
    <row r="103" spans="4:6">
      <c r="D103" s="15"/>
      <c r="F103" s="11"/>
    </row>
    <row r="104" spans="4:6">
      <c r="D104" s="15"/>
      <c r="F104" s="11"/>
    </row>
    <row r="105" spans="4:6">
      <c r="D105" s="15"/>
      <c r="F105" s="11"/>
    </row>
    <row r="106" spans="4:6">
      <c r="D106" s="15"/>
      <c r="F106" s="11"/>
    </row>
    <row r="107" spans="4:6">
      <c r="D107" s="15"/>
      <c r="F107" s="11"/>
    </row>
    <row r="108" spans="4:6">
      <c r="D108" s="15"/>
      <c r="F108" s="11"/>
    </row>
    <row r="109" spans="4:6">
      <c r="D109" s="15"/>
      <c r="F109" s="11"/>
    </row>
    <row r="110" spans="4:6">
      <c r="D110" s="15"/>
      <c r="F110" s="11"/>
    </row>
    <row r="111" spans="4:6">
      <c r="D111" s="15"/>
      <c r="F111" s="11"/>
    </row>
    <row r="112" spans="4:6">
      <c r="D112" s="15"/>
      <c r="F112" s="11"/>
    </row>
    <row r="113" spans="4:6">
      <c r="D113" s="15"/>
      <c r="F113" s="11"/>
    </row>
    <row r="114" spans="4:6">
      <c r="D114" s="15"/>
      <c r="F114" s="11"/>
    </row>
    <row r="115" spans="4:6">
      <c r="D115" s="15"/>
      <c r="F115" s="11"/>
    </row>
    <row r="116" spans="4:6">
      <c r="D116" s="15"/>
      <c r="F116" s="11"/>
    </row>
    <row r="117" spans="4:6">
      <c r="D117" s="15"/>
      <c r="F117" s="11"/>
    </row>
    <row r="118" spans="4:6">
      <c r="D118" s="15"/>
      <c r="F118" s="11"/>
    </row>
    <row r="119" spans="4:6">
      <c r="D119" s="15"/>
      <c r="F119" s="11"/>
    </row>
    <row r="120" spans="4:6">
      <c r="D120" s="15"/>
      <c r="F120" s="11"/>
    </row>
    <row r="121" spans="4:6">
      <c r="D121" s="15"/>
      <c r="F121" s="11"/>
    </row>
    <row r="122" spans="4:6">
      <c r="D122" s="15"/>
      <c r="F122" s="11"/>
    </row>
    <row r="123" spans="4:6">
      <c r="D123" s="15"/>
      <c r="F123" s="11"/>
    </row>
    <row r="124" spans="4:6">
      <c r="D124" s="15"/>
      <c r="F124" s="11"/>
    </row>
    <row r="125" spans="4:6">
      <c r="D125" s="15"/>
      <c r="F125" s="11"/>
    </row>
    <row r="126" spans="4:6">
      <c r="D126" s="15"/>
      <c r="F126" s="11"/>
    </row>
    <row r="127" spans="4:6">
      <c r="D127" s="15"/>
      <c r="F127" s="11"/>
    </row>
    <row r="128" spans="4:6">
      <c r="D128" s="15"/>
      <c r="F128" s="11"/>
    </row>
    <row r="129" spans="4:6">
      <c r="D129" s="15"/>
      <c r="F129" s="11"/>
    </row>
    <row r="130" spans="4:6">
      <c r="D130" s="15"/>
      <c r="F130" s="11"/>
    </row>
    <row r="131" spans="4:6">
      <c r="D131" s="15"/>
      <c r="F131" s="11"/>
    </row>
    <row r="132" spans="4:6">
      <c r="D132" s="15"/>
      <c r="F132" s="11"/>
    </row>
    <row r="133" spans="4:6">
      <c r="D133" s="15"/>
      <c r="F133" s="11"/>
    </row>
    <row r="134" spans="4:6">
      <c r="D134" s="15"/>
      <c r="F134" s="11"/>
    </row>
    <row r="135" spans="4:6">
      <c r="D135" s="15"/>
      <c r="F135" s="11"/>
    </row>
    <row r="136" spans="4:6">
      <c r="D136" s="15"/>
      <c r="F136" s="11"/>
    </row>
    <row r="137" spans="4:6">
      <c r="D137" s="15"/>
      <c r="F137" s="11"/>
    </row>
    <row r="138" spans="4:6">
      <c r="D138" s="15"/>
      <c r="F138" s="11"/>
    </row>
    <row r="139" spans="4:6">
      <c r="D139" s="15"/>
      <c r="F139" s="11"/>
    </row>
    <row r="140" spans="4:6">
      <c r="D140" s="15"/>
      <c r="F140" s="11"/>
    </row>
    <row r="141" spans="4:6">
      <c r="D141" s="15"/>
      <c r="F141" s="11"/>
    </row>
    <row r="142" spans="4:6">
      <c r="D142" s="15"/>
      <c r="F142" s="11"/>
    </row>
    <row r="143" spans="4:6">
      <c r="D143" s="15"/>
      <c r="F143" s="11"/>
    </row>
    <row r="144" spans="4:6">
      <c r="D144" s="15"/>
      <c r="F144" s="11"/>
    </row>
    <row r="145" spans="4:6">
      <c r="D145" s="15"/>
      <c r="F145" s="11"/>
    </row>
    <row r="146" spans="4:6">
      <c r="D146" s="15"/>
      <c r="F146" s="11"/>
    </row>
    <row r="147" spans="4:6">
      <c r="D147" s="15"/>
      <c r="F147" s="11"/>
    </row>
    <row r="148" spans="4:6">
      <c r="D148" s="15"/>
      <c r="F148" s="11"/>
    </row>
    <row r="149" spans="4:6">
      <c r="D149" s="15"/>
      <c r="F149" s="11"/>
    </row>
    <row r="150" spans="4:6">
      <c r="D150" s="15"/>
      <c r="F150" s="11"/>
    </row>
    <row r="151" spans="4:6">
      <c r="D151" s="15"/>
      <c r="F151" s="11"/>
    </row>
    <row r="152" spans="4:6">
      <c r="D152" s="15"/>
      <c r="F152" s="11"/>
    </row>
    <row r="153" spans="4:6">
      <c r="D153" s="15"/>
      <c r="F153" s="11"/>
    </row>
    <row r="154" spans="4:6">
      <c r="D154" s="15"/>
      <c r="F154" s="11"/>
    </row>
    <row r="155" spans="4:6">
      <c r="D155" s="15"/>
      <c r="F155" s="11"/>
    </row>
    <row r="156" spans="4:6">
      <c r="D156" s="15"/>
      <c r="F156" s="11"/>
    </row>
    <row r="157" spans="4:6">
      <c r="D157" s="15"/>
      <c r="F157" s="11"/>
    </row>
    <row r="158" spans="4:6">
      <c r="D158" s="15"/>
      <c r="F158" s="11"/>
    </row>
    <row r="159" spans="4:6">
      <c r="D159" s="15"/>
      <c r="F159" s="11"/>
    </row>
    <row r="160" spans="4:6">
      <c r="D160" s="15"/>
      <c r="F160" s="11"/>
    </row>
    <row r="161" spans="4:6">
      <c r="D161" s="15"/>
      <c r="F161" s="11"/>
    </row>
    <row r="162" spans="4:6">
      <c r="D162" s="15"/>
      <c r="F162" s="11"/>
    </row>
    <row r="163" spans="4:6">
      <c r="D163" s="15"/>
      <c r="F163" s="11"/>
    </row>
    <row r="164" spans="4:6">
      <c r="D164" s="15"/>
      <c r="F164" s="11"/>
    </row>
    <row r="165" spans="4:6">
      <c r="D165" s="15"/>
      <c r="F165" s="11"/>
    </row>
    <row r="166" spans="4:6">
      <c r="D166" s="15"/>
      <c r="F166" s="11"/>
    </row>
    <row r="167" spans="4:6">
      <c r="D167" s="15"/>
      <c r="F167" s="11"/>
    </row>
    <row r="168" spans="4:6">
      <c r="D168" s="15"/>
      <c r="F168" s="11"/>
    </row>
    <row r="169" spans="4:6">
      <c r="D169" s="15"/>
      <c r="F169" s="11"/>
    </row>
    <row r="170" spans="4:6">
      <c r="D170" s="15"/>
      <c r="F170" s="11"/>
    </row>
    <row r="171" spans="4:6">
      <c r="D171" s="15"/>
      <c r="F171" s="11"/>
    </row>
    <row r="172" spans="4:6">
      <c r="D172" s="15"/>
      <c r="F172" s="11"/>
    </row>
    <row r="173" spans="4:6">
      <c r="D173" s="15"/>
      <c r="F173" s="11"/>
    </row>
    <row r="174" spans="4:6">
      <c r="D174" s="15"/>
      <c r="F174" s="11"/>
    </row>
    <row r="175" spans="4:6">
      <c r="D175" s="15"/>
      <c r="F175" s="11"/>
    </row>
    <row r="176" spans="4:6">
      <c r="D176" s="15"/>
      <c r="F176" s="11"/>
    </row>
    <row r="177" spans="4:6">
      <c r="D177" s="15"/>
      <c r="F177" s="11"/>
    </row>
    <row r="178" spans="4:6">
      <c r="D178" s="15"/>
      <c r="F178" s="11"/>
    </row>
    <row r="179" spans="4:6">
      <c r="D179" s="15"/>
      <c r="F179" s="11"/>
    </row>
    <row r="180" spans="4:6">
      <c r="D180" s="15"/>
      <c r="F180" s="11"/>
    </row>
    <row r="181" spans="4:6">
      <c r="D181" s="15"/>
      <c r="F181" s="11"/>
    </row>
    <row r="182" spans="4:6">
      <c r="D182" s="15"/>
      <c r="F182" s="11"/>
    </row>
    <row r="183" spans="4:6">
      <c r="D183" s="15"/>
      <c r="F183" s="11"/>
    </row>
    <row r="184" spans="4:6">
      <c r="D184" s="15"/>
      <c r="F184" s="11"/>
    </row>
    <row r="185" spans="4:6">
      <c r="D185" s="15"/>
      <c r="F185" s="11"/>
    </row>
    <row r="186" spans="4:6">
      <c r="D186" s="15"/>
      <c r="F186" s="11"/>
    </row>
    <row r="187" spans="4:6">
      <c r="D187" s="15"/>
      <c r="F187" s="11"/>
    </row>
    <row r="188" spans="4:6">
      <c r="D188" s="15"/>
      <c r="F188" s="11"/>
    </row>
    <row r="189" spans="4:6">
      <c r="D189" s="15"/>
      <c r="F189" s="11"/>
    </row>
    <row r="190" spans="4:6">
      <c r="D190" s="15"/>
      <c r="F190" s="11"/>
    </row>
    <row r="191" spans="4:6">
      <c r="D191" s="15"/>
      <c r="F191" s="11"/>
    </row>
    <row r="192" spans="4:6">
      <c r="D192" s="15"/>
      <c r="F192" s="11"/>
    </row>
    <row r="193" spans="4:6">
      <c r="D193" s="15"/>
      <c r="F193" s="11"/>
    </row>
    <row r="194" spans="4:6">
      <c r="D194" s="15"/>
      <c r="F194" s="11"/>
    </row>
    <row r="195" spans="4:6">
      <c r="D195" s="15"/>
      <c r="F195" s="11"/>
    </row>
    <row r="196" spans="4:6">
      <c r="D196" s="15"/>
      <c r="F196" s="11"/>
    </row>
    <row r="197" spans="4:6">
      <c r="D197" s="15"/>
      <c r="F197" s="11"/>
    </row>
    <row r="198" spans="4:6">
      <c r="D198" s="15"/>
      <c r="F198" s="11"/>
    </row>
    <row r="199" spans="4:6">
      <c r="D199" s="15"/>
      <c r="F199" s="11"/>
    </row>
    <row r="200" spans="4:6">
      <c r="D200" s="15"/>
      <c r="F200" s="11"/>
    </row>
    <row r="201" spans="4:6">
      <c r="D201" s="15"/>
      <c r="F201" s="11"/>
    </row>
    <row r="202" spans="4:6">
      <c r="D202" s="15"/>
      <c r="F202" s="11"/>
    </row>
    <row r="203" spans="4:6">
      <c r="D203" s="15"/>
      <c r="F203" s="11"/>
    </row>
    <row r="204" spans="4:6">
      <c r="D204" s="15"/>
      <c r="F204" s="11"/>
    </row>
    <row r="205" spans="4:6">
      <c r="D205" s="15"/>
      <c r="F205" s="11"/>
    </row>
    <row r="206" spans="4:6">
      <c r="D206" s="15"/>
      <c r="F206" s="11"/>
    </row>
    <row r="207" spans="4:6">
      <c r="D207" s="15"/>
      <c r="F207" s="11"/>
    </row>
    <row r="208" spans="4:6">
      <c r="D208" s="15"/>
      <c r="F208" s="11"/>
    </row>
    <row r="209" spans="4:6">
      <c r="D209" s="15"/>
      <c r="F209" s="11"/>
    </row>
    <row r="210" spans="4:6">
      <c r="D210" s="15"/>
      <c r="F210" s="11"/>
    </row>
    <row r="211" spans="4:6">
      <c r="D211" s="15"/>
      <c r="F211" s="11"/>
    </row>
    <row r="212" spans="4:6">
      <c r="D212" s="15"/>
      <c r="F212" s="11"/>
    </row>
    <row r="213" spans="4:6">
      <c r="D213" s="15"/>
      <c r="F213" s="11"/>
    </row>
    <row r="214" spans="4:6">
      <c r="D214" s="15"/>
      <c r="F214" s="11"/>
    </row>
    <row r="215" spans="4:6">
      <c r="D215" s="15"/>
      <c r="F215" s="11"/>
    </row>
    <row r="216" spans="4:6">
      <c r="D216" s="15"/>
      <c r="F216" s="11"/>
    </row>
    <row r="217" spans="4:6">
      <c r="D217" s="15"/>
      <c r="F217" s="11"/>
    </row>
    <row r="218" spans="4:6">
      <c r="D218" s="15"/>
      <c r="F218" s="11"/>
    </row>
    <row r="219" spans="4:6">
      <c r="D219" s="15"/>
      <c r="F219" s="11"/>
    </row>
    <row r="220" spans="4:6">
      <c r="D220" s="15"/>
      <c r="F220" s="11"/>
    </row>
    <row r="221" spans="4:6">
      <c r="D221" s="15"/>
      <c r="F221" s="11"/>
    </row>
    <row r="222" spans="4:6">
      <c r="D222" s="15"/>
      <c r="F222" s="11"/>
    </row>
    <row r="223" spans="4:6">
      <c r="D223" s="15"/>
      <c r="F223" s="11"/>
    </row>
    <row r="224" spans="4:6">
      <c r="D224" s="15"/>
      <c r="F224" s="11"/>
    </row>
    <row r="225" spans="4:6">
      <c r="D225" s="15"/>
      <c r="F225" s="11"/>
    </row>
    <row r="226" spans="4:6">
      <c r="D226" s="15"/>
      <c r="F226" s="11"/>
    </row>
    <row r="227" spans="4:6">
      <c r="D227" s="15"/>
      <c r="F227" s="11"/>
    </row>
    <row r="228" spans="4:6">
      <c r="D228" s="15"/>
      <c r="F228" s="11"/>
    </row>
    <row r="229" spans="4:6">
      <c r="D229" s="15"/>
      <c r="F229" s="11"/>
    </row>
    <row r="230" spans="4:6">
      <c r="D230" s="15"/>
      <c r="F230" s="11"/>
    </row>
    <row r="231" spans="4:6">
      <c r="D231" s="15"/>
      <c r="F231" s="11"/>
    </row>
    <row r="232" spans="4:6">
      <c r="D232" s="15"/>
      <c r="F232" s="11"/>
    </row>
    <row r="233" spans="4:6">
      <c r="D233" s="15"/>
      <c r="F233" s="11"/>
    </row>
    <row r="234" spans="4:6">
      <c r="D234" s="15"/>
      <c r="F234" s="11"/>
    </row>
    <row r="235" spans="4:6">
      <c r="D235" s="15"/>
      <c r="F235" s="11"/>
    </row>
    <row r="236" spans="4:6">
      <c r="D236" s="15"/>
      <c r="F236" s="11"/>
    </row>
    <row r="237" spans="4:6">
      <c r="D237" s="15"/>
      <c r="F237" s="11"/>
    </row>
    <row r="238" spans="4:6">
      <c r="D238" s="15"/>
      <c r="F238" s="11"/>
    </row>
    <row r="239" spans="4:6">
      <c r="D239" s="15"/>
      <c r="F239" s="11"/>
    </row>
    <row r="240" spans="4:6">
      <c r="D240" s="15"/>
      <c r="F240" s="11"/>
    </row>
    <row r="241" spans="4:6">
      <c r="D241" s="15"/>
      <c r="F241" s="11"/>
    </row>
    <row r="242" spans="4:6">
      <c r="D242" s="15"/>
      <c r="F242" s="11"/>
    </row>
    <row r="243" spans="4:6">
      <c r="D243" s="15"/>
      <c r="F243" s="11"/>
    </row>
    <row r="244" spans="4:6">
      <c r="D244" s="15"/>
      <c r="F244" s="11"/>
    </row>
    <row r="245" spans="4:6">
      <c r="D245" s="15"/>
      <c r="F245" s="11"/>
    </row>
    <row r="246" spans="4:6">
      <c r="D246" s="15"/>
      <c r="F246" s="11"/>
    </row>
    <row r="247" spans="4:6">
      <c r="D247" s="15"/>
      <c r="F247" s="11"/>
    </row>
    <row r="248" spans="4:6">
      <c r="D248" s="15"/>
      <c r="F248" s="11"/>
    </row>
    <row r="249" spans="4:6">
      <c r="D249" s="15"/>
      <c r="F249" s="11"/>
    </row>
    <row r="250" spans="4:6">
      <c r="D250" s="15"/>
      <c r="F250" s="11"/>
    </row>
    <row r="251" spans="4:6">
      <c r="D251" s="15"/>
      <c r="F251" s="11"/>
    </row>
    <row r="252" spans="4:6">
      <c r="D252" s="15"/>
      <c r="F252" s="11"/>
    </row>
    <row r="253" spans="4:6">
      <c r="D253" s="15"/>
      <c r="F253" s="11"/>
    </row>
    <row r="254" spans="4:6">
      <c r="D254" s="15"/>
      <c r="F254" s="11"/>
    </row>
    <row r="255" spans="4:6">
      <c r="D255" s="15"/>
      <c r="F255" s="11"/>
    </row>
    <row r="256" spans="4:6">
      <c r="D256" s="15"/>
      <c r="F256" s="11"/>
    </row>
    <row r="257" spans="4:6">
      <c r="D257" s="15"/>
      <c r="F257" s="11"/>
    </row>
    <row r="258" spans="4:6">
      <c r="D258" s="15"/>
      <c r="F258" s="11"/>
    </row>
    <row r="259" spans="4:6">
      <c r="D259" s="15"/>
      <c r="F259" s="11"/>
    </row>
    <row r="260" spans="4:6">
      <c r="D260" s="15"/>
      <c r="F260" s="11"/>
    </row>
    <row r="261" spans="4:6">
      <c r="D261" s="15"/>
      <c r="F261" s="11"/>
    </row>
    <row r="262" spans="4:6">
      <c r="D262" s="15"/>
      <c r="F262" s="11"/>
    </row>
    <row r="263" spans="4:6">
      <c r="D263" s="15"/>
      <c r="F263" s="11"/>
    </row>
    <row r="264" spans="4:6">
      <c r="D264" s="15"/>
      <c r="F264" s="11"/>
    </row>
    <row r="265" spans="4:6">
      <c r="D265" s="15"/>
      <c r="F265" s="11"/>
    </row>
    <row r="266" spans="4:6">
      <c r="D266" s="15"/>
      <c r="F266" s="11"/>
    </row>
    <row r="267" spans="4:6">
      <c r="D267" s="15"/>
      <c r="F267" s="11"/>
    </row>
    <row r="268" spans="4:6">
      <c r="D268" s="15"/>
      <c r="F268" s="11"/>
    </row>
    <row r="269" spans="4:6">
      <c r="D269" s="15"/>
      <c r="F269" s="11"/>
    </row>
    <row r="270" spans="4:6">
      <c r="D270" s="15"/>
      <c r="F270" s="11"/>
    </row>
    <row r="271" spans="4:6">
      <c r="D271" s="15"/>
      <c r="F271" s="11"/>
    </row>
    <row r="272" spans="4:6">
      <c r="D272" s="15"/>
      <c r="F272" s="11"/>
    </row>
    <row r="273" spans="4:6">
      <c r="D273" s="15"/>
      <c r="F273" s="11"/>
    </row>
    <row r="274" spans="4:6">
      <c r="D274" s="15"/>
      <c r="F274" s="11"/>
    </row>
    <row r="275" spans="4:6">
      <c r="D275" s="15"/>
      <c r="F275" s="11"/>
    </row>
    <row r="276" spans="4:6">
      <c r="D276" s="15"/>
      <c r="F276" s="11"/>
    </row>
    <row r="277" spans="4:6">
      <c r="D277" s="15"/>
      <c r="F277" s="11"/>
    </row>
    <row r="278" spans="4:6">
      <c r="D278" s="15"/>
      <c r="F278" s="11"/>
    </row>
    <row r="279" spans="4:6">
      <c r="D279" s="15"/>
      <c r="F279" s="11"/>
    </row>
    <row r="280" spans="4:6">
      <c r="D280" s="15"/>
      <c r="F280" s="11"/>
    </row>
    <row r="281" spans="4:6">
      <c r="D281" s="15"/>
      <c r="F281" s="11"/>
    </row>
    <row r="282" spans="4:6">
      <c r="D282" s="15"/>
      <c r="F282" s="11"/>
    </row>
    <row r="283" spans="4:6">
      <c r="D283" s="15"/>
      <c r="F283" s="11"/>
    </row>
    <row r="284" spans="4:6">
      <c r="D284" s="15"/>
      <c r="F284" s="11"/>
    </row>
    <row r="285" spans="4:6">
      <c r="D285" s="15"/>
      <c r="F285" s="11"/>
    </row>
    <row r="286" spans="4:6">
      <c r="D286" s="15"/>
      <c r="F286" s="11"/>
    </row>
    <row r="287" spans="4:6">
      <c r="D287" s="15"/>
      <c r="F287" s="11"/>
    </row>
    <row r="288" spans="4:6">
      <c r="D288" s="15"/>
      <c r="F288" s="11"/>
    </row>
    <row r="289" spans="4:6">
      <c r="D289" s="15"/>
      <c r="F289" s="11"/>
    </row>
    <row r="290" spans="4:6">
      <c r="D290" s="15"/>
      <c r="F290" s="11"/>
    </row>
    <row r="291" spans="4:6">
      <c r="D291" s="15"/>
      <c r="F291" s="11"/>
    </row>
    <row r="292" spans="4:6">
      <c r="D292" s="15"/>
      <c r="F292" s="11"/>
    </row>
    <row r="293" spans="4:6">
      <c r="D293" s="15"/>
      <c r="F293" s="11"/>
    </row>
    <row r="294" spans="4:6">
      <c r="D294" s="15"/>
      <c r="F294" s="11"/>
    </row>
    <row r="295" spans="4:6">
      <c r="D295" s="15"/>
      <c r="F295" s="11"/>
    </row>
    <row r="296" spans="4:6">
      <c r="D296" s="15"/>
      <c r="F296" s="11"/>
    </row>
    <row r="297" spans="4:6">
      <c r="D297" s="15"/>
      <c r="F297" s="11"/>
    </row>
    <row r="298" spans="4:6">
      <c r="D298" s="15"/>
      <c r="F298" s="11"/>
    </row>
    <row r="299" spans="4:6">
      <c r="D299" s="15"/>
      <c r="F299" s="11"/>
    </row>
    <row r="300" spans="4:6">
      <c r="D300" s="15"/>
      <c r="F300" s="11"/>
    </row>
    <row r="301" spans="4:6">
      <c r="D301" s="15"/>
      <c r="F301" s="11"/>
    </row>
    <row r="302" spans="4:6">
      <c r="D302" s="15"/>
      <c r="F302" s="11"/>
    </row>
    <row r="303" spans="4:6">
      <c r="D303" s="15"/>
      <c r="F303" s="11"/>
    </row>
    <row r="304" spans="4:6">
      <c r="D304" s="15"/>
      <c r="F304" s="11"/>
    </row>
    <row r="305" spans="4:6">
      <c r="D305" s="15"/>
      <c r="F305" s="11"/>
    </row>
    <row r="306" spans="4:6">
      <c r="D306" s="15"/>
      <c r="F306" s="11"/>
    </row>
    <row r="307" spans="4:6">
      <c r="D307" s="15"/>
      <c r="F307" s="11"/>
    </row>
    <row r="308" spans="4:6">
      <c r="D308" s="15"/>
      <c r="F308" s="11"/>
    </row>
    <row r="309" spans="4:6">
      <c r="D309" s="15"/>
      <c r="F309" s="11"/>
    </row>
    <row r="310" spans="4:6">
      <c r="D310" s="15"/>
      <c r="F310" s="11"/>
    </row>
    <row r="311" spans="4:6">
      <c r="D311" s="15"/>
      <c r="F311" s="11"/>
    </row>
    <row r="312" spans="4:6">
      <c r="D312" s="15"/>
      <c r="F312" s="11"/>
    </row>
    <row r="313" spans="4:6">
      <c r="D313" s="15"/>
      <c r="F313" s="11"/>
    </row>
    <row r="314" spans="4:6">
      <c r="D314" s="15"/>
      <c r="F314" s="11"/>
    </row>
    <row r="315" spans="4:6">
      <c r="D315" s="15"/>
      <c r="F315" s="11"/>
    </row>
    <row r="316" spans="4:6">
      <c r="D316" s="15"/>
      <c r="F316" s="11"/>
    </row>
    <row r="317" spans="4:6">
      <c r="D317" s="15"/>
      <c r="F317" s="11"/>
    </row>
    <row r="318" spans="4:6">
      <c r="D318" s="15"/>
      <c r="F318" s="11"/>
    </row>
    <row r="319" spans="4:6">
      <c r="D319" s="15"/>
      <c r="F319" s="11"/>
    </row>
    <row r="320" spans="4:6">
      <c r="D320" s="15"/>
      <c r="F320" s="11"/>
    </row>
    <row r="321" spans="4:6">
      <c r="D321" s="15"/>
      <c r="F321" s="11"/>
    </row>
    <row r="322" spans="4:6">
      <c r="D322" s="15"/>
      <c r="F322" s="11"/>
    </row>
    <row r="323" spans="4:6">
      <c r="D323" s="15"/>
      <c r="F323" s="11"/>
    </row>
    <row r="324" spans="4:6">
      <c r="D324" s="15"/>
      <c r="F324" s="11"/>
    </row>
    <row r="325" spans="4:6">
      <c r="D325" s="15"/>
      <c r="F325" s="11"/>
    </row>
    <row r="326" spans="4:6">
      <c r="D326" s="15"/>
      <c r="F326" s="11"/>
    </row>
    <row r="327" spans="4:6">
      <c r="D327" s="15"/>
      <c r="F327" s="11"/>
    </row>
    <row r="328" spans="4:6">
      <c r="D328" s="15"/>
      <c r="F328" s="11"/>
    </row>
    <row r="329" spans="4:6">
      <c r="D329" s="15"/>
      <c r="F329" s="11"/>
    </row>
    <row r="330" spans="4:6">
      <c r="D330" s="15"/>
      <c r="F330" s="11"/>
    </row>
    <row r="331" spans="4:6">
      <c r="D331" s="15"/>
      <c r="F331" s="11"/>
    </row>
    <row r="332" spans="4:6">
      <c r="D332" s="15"/>
      <c r="F332" s="11"/>
    </row>
    <row r="333" spans="4:6">
      <c r="D333" s="15"/>
      <c r="F333" s="11"/>
    </row>
    <row r="334" spans="4:6">
      <c r="D334" s="15"/>
      <c r="F334" s="11"/>
    </row>
    <row r="335" spans="4:6">
      <c r="D335" s="15"/>
      <c r="F335" s="11"/>
    </row>
    <row r="336" spans="4:6">
      <c r="D336" s="15"/>
      <c r="F336" s="11"/>
    </row>
    <row r="337" spans="4:6">
      <c r="D337" s="15"/>
      <c r="F337" s="11"/>
    </row>
    <row r="338" spans="4:6">
      <c r="D338" s="15"/>
      <c r="F338" s="11"/>
    </row>
    <row r="339" spans="4:6">
      <c r="D339" s="15"/>
      <c r="F339" s="11"/>
    </row>
    <row r="340" spans="4:6">
      <c r="D340" s="15"/>
      <c r="F340" s="11"/>
    </row>
    <row r="341" spans="4:6">
      <c r="D341" s="15"/>
      <c r="F341" s="11"/>
    </row>
    <row r="342" spans="4:6">
      <c r="D342" s="15"/>
      <c r="F342" s="11"/>
    </row>
    <row r="343" spans="4:6">
      <c r="D343" s="15"/>
      <c r="F343" s="11"/>
    </row>
    <row r="344" spans="4:6">
      <c r="D344" s="15"/>
      <c r="F344" s="11"/>
    </row>
    <row r="345" spans="4:6">
      <c r="D345" s="15"/>
      <c r="F345" s="11"/>
    </row>
    <row r="346" spans="4:6">
      <c r="D346" s="15"/>
      <c r="F346" s="11"/>
    </row>
    <row r="347" spans="4:6">
      <c r="D347" s="15"/>
      <c r="F347" s="11"/>
    </row>
    <row r="348" spans="4:6">
      <c r="D348" s="15"/>
      <c r="F348" s="11"/>
    </row>
    <row r="349" spans="4:6">
      <c r="D349" s="15"/>
      <c r="F349" s="11"/>
    </row>
    <row r="350" spans="4:6">
      <c r="D350" s="15"/>
      <c r="F350" s="11"/>
    </row>
    <row r="351" spans="4:6">
      <c r="D351" s="15"/>
      <c r="F351" s="11"/>
    </row>
    <row r="352" spans="4:6">
      <c r="D352" s="15"/>
      <c r="F352" s="11"/>
    </row>
    <row r="353" spans="4:6">
      <c r="D353" s="15"/>
      <c r="F353" s="11"/>
    </row>
    <row r="354" spans="4:6">
      <c r="D354" s="15"/>
      <c r="F354" s="11"/>
    </row>
    <row r="355" spans="4:6">
      <c r="D355" s="15"/>
      <c r="F355" s="11"/>
    </row>
    <row r="356" spans="4:6">
      <c r="D356" s="15"/>
      <c r="F356" s="11"/>
    </row>
    <row r="357" spans="4:6">
      <c r="D357" s="15"/>
      <c r="F357" s="11"/>
    </row>
    <row r="358" spans="4:6">
      <c r="D358" s="15"/>
      <c r="F358" s="11"/>
    </row>
    <row r="359" spans="4:6">
      <c r="D359" s="15"/>
      <c r="F359" s="11"/>
    </row>
    <row r="360" spans="4:6">
      <c r="D360" s="15"/>
      <c r="F360" s="11"/>
    </row>
    <row r="361" spans="4:6">
      <c r="D361" s="15"/>
      <c r="F361" s="11"/>
    </row>
    <row r="362" spans="4:6">
      <c r="D362" s="15"/>
      <c r="F362" s="11"/>
    </row>
    <row r="363" spans="4:6">
      <c r="D363" s="15"/>
      <c r="F363" s="11"/>
    </row>
    <row r="364" spans="4:6">
      <c r="D364" s="15"/>
      <c r="F364" s="11"/>
    </row>
    <row r="365" spans="4:6">
      <c r="D365" s="15"/>
      <c r="F365" s="11"/>
    </row>
    <row r="366" spans="4:6">
      <c r="D366" s="15"/>
      <c r="F366" s="11"/>
    </row>
    <row r="367" spans="4:6">
      <c r="D367" s="15"/>
      <c r="F367" s="11"/>
    </row>
    <row r="368" spans="4:6">
      <c r="D368" s="15"/>
      <c r="F368" s="11"/>
    </row>
    <row r="369" spans="4:6">
      <c r="D369" s="15"/>
      <c r="F369" s="11"/>
    </row>
    <row r="370" spans="4:6">
      <c r="D370" s="15"/>
      <c r="F370" s="11"/>
    </row>
    <row r="371" spans="4:6">
      <c r="D371" s="15"/>
      <c r="F371" s="11"/>
    </row>
    <row r="372" spans="4:6">
      <c r="D372" s="15"/>
      <c r="F372" s="11"/>
    </row>
    <row r="373" spans="4:6">
      <c r="D373" s="15"/>
      <c r="F373" s="11"/>
    </row>
    <row r="374" spans="4:6">
      <c r="D374" s="15"/>
      <c r="F374" s="11"/>
    </row>
    <row r="375" spans="4:6">
      <c r="D375" s="15"/>
      <c r="F375" s="11"/>
    </row>
    <row r="376" spans="4:6">
      <c r="D376" s="15"/>
      <c r="F376" s="11"/>
    </row>
    <row r="377" spans="4:6">
      <c r="D377" s="15"/>
      <c r="F377" s="11"/>
    </row>
    <row r="378" spans="4:6">
      <c r="D378" s="15"/>
      <c r="F378" s="11"/>
    </row>
    <row r="379" spans="4:6">
      <c r="D379" s="15"/>
      <c r="F379" s="11"/>
    </row>
    <row r="380" spans="4:6">
      <c r="D380" s="15"/>
      <c r="F380" s="11"/>
    </row>
    <row r="381" spans="4:6">
      <c r="D381" s="15"/>
      <c r="F381" s="11"/>
    </row>
    <row r="382" spans="4:6">
      <c r="D382" s="15"/>
      <c r="F382" s="11"/>
    </row>
    <row r="383" spans="4:6">
      <c r="D383" s="15"/>
      <c r="F383" s="11"/>
    </row>
    <row r="384" spans="4:6">
      <c r="D384" s="15"/>
      <c r="F384" s="11"/>
    </row>
    <row r="385" spans="4:6">
      <c r="D385" s="15"/>
      <c r="F385" s="11"/>
    </row>
    <row r="386" spans="4:6">
      <c r="D386" s="15"/>
      <c r="F386" s="11"/>
    </row>
    <row r="387" spans="4:6">
      <c r="D387" s="15"/>
      <c r="F387" s="11"/>
    </row>
    <row r="388" spans="4:6">
      <c r="D388" s="15"/>
      <c r="F388" s="11"/>
    </row>
    <row r="389" spans="4:6">
      <c r="D389" s="15"/>
      <c r="F389" s="11"/>
    </row>
    <row r="390" spans="4:6">
      <c r="D390" s="15"/>
      <c r="F390" s="11"/>
    </row>
    <row r="391" spans="4:6">
      <c r="D391" s="15"/>
      <c r="F391" s="11"/>
    </row>
    <row r="392" spans="4:6">
      <c r="D392" s="15"/>
      <c r="F392" s="11"/>
    </row>
    <row r="393" spans="4:6">
      <c r="D393" s="15"/>
      <c r="F393" s="11"/>
    </row>
    <row r="394" spans="4:6">
      <c r="D394" s="15"/>
      <c r="F394" s="11"/>
    </row>
    <row r="395" spans="4:6">
      <c r="D395" s="15"/>
      <c r="F395" s="11"/>
    </row>
    <row r="396" spans="4:6">
      <c r="D396" s="15"/>
      <c r="F396" s="11"/>
    </row>
    <row r="397" spans="4:6">
      <c r="D397" s="15"/>
      <c r="F397" s="11"/>
    </row>
    <row r="398" spans="4:6">
      <c r="D398" s="15"/>
      <c r="F398" s="11"/>
    </row>
    <row r="399" spans="4:6">
      <c r="D399" s="15"/>
      <c r="F399" s="11"/>
    </row>
    <row r="400" spans="4:6">
      <c r="D400" s="15"/>
      <c r="F400" s="11"/>
    </row>
    <row r="401" spans="4:6">
      <c r="D401" s="15"/>
      <c r="F401" s="11"/>
    </row>
    <row r="402" spans="4:6">
      <c r="D402" s="15"/>
      <c r="F402" s="11"/>
    </row>
    <row r="403" spans="4:6">
      <c r="D403" s="15"/>
      <c r="F403" s="11"/>
    </row>
    <row r="404" spans="4:6">
      <c r="D404" s="15"/>
      <c r="F404" s="11"/>
    </row>
    <row r="405" spans="4:6">
      <c r="D405" s="15"/>
      <c r="F405" s="11"/>
    </row>
    <row r="406" spans="4:6">
      <c r="D406" s="15"/>
      <c r="F406" s="11"/>
    </row>
    <row r="407" spans="4:6">
      <c r="D407" s="15"/>
      <c r="F407" s="11"/>
    </row>
    <row r="408" spans="4:6">
      <c r="D408" s="15"/>
      <c r="F408" s="11"/>
    </row>
    <row r="409" spans="4:6">
      <c r="D409" s="15"/>
      <c r="F409" s="11"/>
    </row>
    <row r="410" spans="4:6">
      <c r="D410" s="15"/>
      <c r="F410" s="11"/>
    </row>
    <row r="411" spans="4:6">
      <c r="D411" s="15"/>
      <c r="F411" s="11"/>
    </row>
    <row r="412" spans="4:6">
      <c r="D412" s="15"/>
      <c r="F412" s="11"/>
    </row>
    <row r="413" spans="4:6">
      <c r="D413" s="15"/>
      <c r="F413" s="11"/>
    </row>
    <row r="414" spans="4:6">
      <c r="D414" s="15"/>
      <c r="F414" s="11"/>
    </row>
    <row r="415" spans="4:6">
      <c r="D415" s="15"/>
      <c r="F415" s="11"/>
    </row>
    <row r="416" spans="4:6">
      <c r="D416" s="15"/>
      <c r="F416" s="11"/>
    </row>
    <row r="417" spans="4:6">
      <c r="D417" s="15"/>
      <c r="F417" s="11"/>
    </row>
    <row r="418" spans="4:6">
      <c r="D418" s="15"/>
      <c r="F418" s="11"/>
    </row>
    <row r="419" spans="4:6">
      <c r="D419" s="15"/>
      <c r="F419" s="11"/>
    </row>
    <row r="420" spans="4:6">
      <c r="D420" s="15"/>
      <c r="F420" s="11"/>
    </row>
    <row r="421" spans="4:6">
      <c r="D421" s="15"/>
      <c r="F421" s="11"/>
    </row>
    <row r="422" spans="4:6">
      <c r="D422" s="15"/>
      <c r="F422" s="11"/>
    </row>
    <row r="423" spans="4:6">
      <c r="D423" s="15"/>
      <c r="F423" s="11"/>
    </row>
    <row r="424" spans="4:6">
      <c r="D424" s="15"/>
      <c r="F424" s="11"/>
    </row>
    <row r="425" spans="4:6">
      <c r="D425" s="15"/>
      <c r="F425" s="11"/>
    </row>
    <row r="426" spans="4:6">
      <c r="D426" s="15"/>
      <c r="F426" s="11"/>
    </row>
    <row r="427" spans="4:6">
      <c r="D427" s="15"/>
      <c r="F427" s="11"/>
    </row>
    <row r="428" spans="4:6">
      <c r="D428" s="15"/>
      <c r="F428" s="11"/>
    </row>
    <row r="429" spans="4:6">
      <c r="D429" s="15"/>
      <c r="F429" s="11"/>
    </row>
    <row r="430" spans="4:6">
      <c r="D430" s="15"/>
      <c r="F430" s="11"/>
    </row>
    <row r="431" spans="4:6">
      <c r="D431" s="15"/>
      <c r="F431" s="11"/>
    </row>
    <row r="432" spans="4:6">
      <c r="D432" s="15"/>
      <c r="F432" s="11"/>
    </row>
    <row r="433" spans="4:6">
      <c r="D433" s="15"/>
      <c r="F433" s="11"/>
    </row>
    <row r="434" spans="4:6">
      <c r="D434" s="15"/>
      <c r="F434" s="11"/>
    </row>
    <row r="435" spans="4:6">
      <c r="D435" s="15"/>
      <c r="F435" s="11"/>
    </row>
    <row r="436" spans="4:6">
      <c r="D436" s="15"/>
      <c r="F436" s="11"/>
    </row>
    <row r="437" spans="4:6">
      <c r="D437" s="15"/>
      <c r="F437" s="11"/>
    </row>
    <row r="438" spans="4:6">
      <c r="D438" s="15"/>
      <c r="F438" s="11"/>
    </row>
    <row r="439" spans="4:6">
      <c r="D439" s="15"/>
      <c r="F439" s="11"/>
    </row>
    <row r="440" spans="4:6">
      <c r="D440" s="15"/>
      <c r="F440" s="11"/>
    </row>
    <row r="441" spans="4:6">
      <c r="D441" s="15"/>
      <c r="F441" s="11"/>
    </row>
    <row r="442" spans="4:6">
      <c r="D442" s="15"/>
      <c r="F442" s="11"/>
    </row>
    <row r="443" spans="4:6">
      <c r="D443" s="15"/>
      <c r="F443" s="11"/>
    </row>
    <row r="444" spans="4:6">
      <c r="D444" s="15"/>
      <c r="F444" s="11"/>
    </row>
    <row r="445" spans="4:6">
      <c r="D445" s="15"/>
      <c r="F445" s="11"/>
    </row>
    <row r="446" spans="4:6">
      <c r="D446" s="15"/>
      <c r="F446" s="11"/>
    </row>
    <row r="447" spans="4:6">
      <c r="D447" s="15"/>
      <c r="F447" s="11"/>
    </row>
    <row r="448" spans="4:6">
      <c r="D448" s="15"/>
      <c r="F448" s="11"/>
    </row>
    <row r="449" spans="4:6">
      <c r="D449" s="15"/>
      <c r="F449" s="11"/>
    </row>
    <row r="450" spans="4:6">
      <c r="D450" s="15"/>
      <c r="F450" s="11"/>
    </row>
    <row r="451" spans="4:6">
      <c r="D451" s="15"/>
      <c r="F451" s="11"/>
    </row>
    <row r="452" spans="4:6">
      <c r="D452" s="15"/>
      <c r="F452" s="11"/>
    </row>
    <row r="453" spans="4:6">
      <c r="D453" s="15"/>
      <c r="F453" s="11"/>
    </row>
    <row r="454" spans="4:6">
      <c r="D454" s="15"/>
      <c r="F454" s="11"/>
    </row>
    <row r="455" spans="4:6">
      <c r="D455" s="15"/>
      <c r="F455" s="11"/>
    </row>
    <row r="456" spans="4:6">
      <c r="D456" s="15"/>
      <c r="F456" s="11"/>
    </row>
    <row r="457" spans="4:6">
      <c r="D457" s="15"/>
      <c r="F457" s="11"/>
    </row>
    <row r="458" spans="4:6">
      <c r="D458" s="15"/>
      <c r="F458" s="11"/>
    </row>
    <row r="459" spans="4:6">
      <c r="D459" s="15"/>
      <c r="F459" s="11"/>
    </row>
    <row r="460" spans="4:6">
      <c r="D460" s="15"/>
      <c r="F460" s="11"/>
    </row>
    <row r="461" spans="4:6">
      <c r="D461" s="15"/>
      <c r="F461" s="11"/>
    </row>
    <row r="462" spans="4:6">
      <c r="D462" s="15"/>
      <c r="F462" s="11"/>
    </row>
    <row r="463" spans="4:6">
      <c r="D463" s="15"/>
      <c r="F463" s="11"/>
    </row>
    <row r="464" spans="4:6">
      <c r="D464" s="15"/>
      <c r="F464" s="11"/>
    </row>
    <row r="465" spans="4:6">
      <c r="D465" s="15"/>
      <c r="F465" s="11"/>
    </row>
    <row r="466" spans="4:6">
      <c r="D466" s="15"/>
      <c r="F466" s="11"/>
    </row>
    <row r="467" spans="4:6">
      <c r="D467" s="15"/>
      <c r="F467" s="11"/>
    </row>
    <row r="468" spans="4:6">
      <c r="D468" s="15"/>
      <c r="F468" s="11"/>
    </row>
    <row r="469" spans="4:6">
      <c r="D469" s="15"/>
      <c r="F469" s="11"/>
    </row>
    <row r="470" spans="4:6">
      <c r="D470" s="15"/>
      <c r="F470" s="11"/>
    </row>
    <row r="471" spans="4:6">
      <c r="D471" s="15"/>
      <c r="F471" s="11"/>
    </row>
    <row r="472" spans="4:6">
      <c r="D472" s="15"/>
      <c r="F472" s="11"/>
    </row>
    <row r="473" spans="4:6">
      <c r="D473" s="15"/>
      <c r="F473" s="11"/>
    </row>
    <row r="474" spans="4:6">
      <c r="D474" s="15"/>
      <c r="F474" s="11"/>
    </row>
    <row r="475" spans="4:6">
      <c r="D475" s="15"/>
      <c r="F475" s="11"/>
    </row>
    <row r="476" spans="4:6">
      <c r="D476" s="15"/>
      <c r="F476" s="11"/>
    </row>
    <row r="477" spans="4:6">
      <c r="D477" s="15"/>
      <c r="F477" s="11"/>
    </row>
    <row r="478" spans="4:6">
      <c r="D478" s="15"/>
      <c r="F478" s="11"/>
    </row>
    <row r="479" spans="4:6">
      <c r="D479" s="15"/>
      <c r="F479" s="11"/>
    </row>
    <row r="480" spans="4:6">
      <c r="D480" s="15"/>
      <c r="F480" s="11"/>
    </row>
    <row r="481" spans="4:6">
      <c r="D481" s="15"/>
      <c r="F481" s="11"/>
    </row>
    <row r="482" spans="4:6">
      <c r="D482" s="15"/>
      <c r="F482" s="11"/>
    </row>
    <row r="483" spans="4:6">
      <c r="D483" s="15"/>
      <c r="F483" s="11"/>
    </row>
    <row r="484" spans="4:6">
      <c r="D484" s="15"/>
      <c r="F484" s="11"/>
    </row>
    <row r="485" spans="4:6">
      <c r="D485" s="15"/>
      <c r="F485" s="11"/>
    </row>
    <row r="486" spans="4:6">
      <c r="D486" s="15"/>
      <c r="F486" s="11"/>
    </row>
    <row r="487" spans="4:6">
      <c r="D487" s="15"/>
      <c r="F487" s="11"/>
    </row>
    <row r="488" spans="4:6">
      <c r="D488" s="15"/>
      <c r="F488" s="11"/>
    </row>
    <row r="489" spans="4:6">
      <c r="D489" s="15"/>
      <c r="F489" s="11"/>
    </row>
    <row r="490" spans="4:6">
      <c r="D490" s="15"/>
      <c r="F490" s="11"/>
    </row>
    <row r="491" spans="4:6">
      <c r="D491" s="15"/>
      <c r="F491" s="11"/>
    </row>
    <row r="492" spans="4:6">
      <c r="D492" s="15"/>
      <c r="F492" s="11"/>
    </row>
    <row r="493" spans="4:6">
      <c r="D493" s="15"/>
      <c r="F493" s="11"/>
    </row>
    <row r="494" spans="4:6">
      <c r="D494" s="15"/>
      <c r="F494" s="11"/>
    </row>
    <row r="495" spans="4:6">
      <c r="D495" s="15"/>
      <c r="F495" s="11"/>
    </row>
    <row r="496" spans="4:6">
      <c r="D496" s="15"/>
      <c r="F496" s="11"/>
    </row>
    <row r="497" spans="4:6">
      <c r="D497" s="15"/>
      <c r="F497" s="11"/>
    </row>
    <row r="498" spans="4:6">
      <c r="D498" s="15"/>
      <c r="F498" s="11"/>
    </row>
    <row r="499" spans="4:6">
      <c r="D499" s="15"/>
      <c r="F499" s="11"/>
    </row>
    <row r="500" spans="4:6">
      <c r="D500" s="15"/>
      <c r="F500" s="11"/>
    </row>
    <row r="501" spans="4:6">
      <c r="D501" s="15"/>
      <c r="F501" s="11"/>
    </row>
    <row r="502" spans="4:6">
      <c r="D502" s="15"/>
      <c r="F502" s="11"/>
    </row>
    <row r="503" spans="4:6">
      <c r="D503" s="15"/>
      <c r="F503" s="11"/>
    </row>
    <row r="504" spans="4:6">
      <c r="D504" s="15"/>
      <c r="F504" s="11"/>
    </row>
    <row r="505" spans="4:6">
      <c r="D505" s="15"/>
      <c r="F505" s="11"/>
    </row>
    <row r="506" spans="4:6">
      <c r="D506" s="15"/>
      <c r="F506" s="11"/>
    </row>
    <row r="507" spans="4:6">
      <c r="D507" s="15"/>
      <c r="F507" s="11"/>
    </row>
    <row r="508" spans="4:6">
      <c r="D508" s="15"/>
      <c r="F508" s="11"/>
    </row>
    <row r="509" spans="4:6">
      <c r="D509" s="15"/>
      <c r="F509" s="11"/>
    </row>
    <row r="510" spans="4:6">
      <c r="D510" s="15"/>
      <c r="F510" s="11"/>
    </row>
    <row r="511" spans="4:6">
      <c r="D511" s="15"/>
      <c r="F511" s="11"/>
    </row>
    <row r="512" spans="4:6">
      <c r="D512" s="15"/>
      <c r="F512" s="11"/>
    </row>
    <row r="513" spans="4:6">
      <c r="D513" s="15"/>
      <c r="F513" s="11"/>
    </row>
    <row r="514" spans="4:6">
      <c r="D514" s="15"/>
      <c r="F514" s="11"/>
    </row>
    <row r="515" spans="4:6">
      <c r="D515" s="15"/>
      <c r="F515" s="11"/>
    </row>
    <row r="516" spans="4:6">
      <c r="D516" s="15"/>
      <c r="F516" s="11"/>
    </row>
    <row r="517" spans="4:6">
      <c r="D517" s="15"/>
      <c r="F517" s="11"/>
    </row>
    <row r="518" spans="4:6">
      <c r="D518" s="15"/>
      <c r="F518" s="11"/>
    </row>
    <row r="519" spans="4:6">
      <c r="D519" s="15"/>
      <c r="F519" s="11"/>
    </row>
    <row r="520" spans="4:6">
      <c r="D520" s="15"/>
      <c r="F520" s="11"/>
    </row>
    <row r="521" spans="4:6">
      <c r="D521" s="15"/>
      <c r="F521" s="11"/>
    </row>
    <row r="522" spans="4:6">
      <c r="D522" s="15"/>
      <c r="F522" s="11"/>
    </row>
    <row r="523" spans="4:6">
      <c r="D523" s="15"/>
      <c r="F523" s="11"/>
    </row>
    <row r="524" spans="4:6">
      <c r="D524" s="15"/>
      <c r="F524" s="11"/>
    </row>
    <row r="525" spans="4:6">
      <c r="D525" s="15"/>
      <c r="F525" s="11"/>
    </row>
    <row r="526" spans="4:6">
      <c r="D526" s="15"/>
      <c r="F526" s="11"/>
    </row>
    <row r="527" spans="4:6">
      <c r="D527" s="15"/>
      <c r="F527" s="11"/>
    </row>
    <row r="528" spans="4:6">
      <c r="D528" s="15"/>
      <c r="F528" s="11"/>
    </row>
    <row r="529" spans="4:6">
      <c r="D529" s="15"/>
      <c r="F529" s="11"/>
    </row>
    <row r="530" spans="4:6">
      <c r="D530" s="15"/>
      <c r="F530" s="11"/>
    </row>
    <row r="531" spans="4:6">
      <c r="D531" s="15"/>
      <c r="F531" s="11"/>
    </row>
    <row r="532" spans="4:6">
      <c r="D532" s="15"/>
      <c r="F532" s="11"/>
    </row>
    <row r="533" spans="4:6">
      <c r="D533" s="15"/>
      <c r="F533" s="11"/>
    </row>
    <row r="534" spans="4:6">
      <c r="D534" s="15"/>
      <c r="F534" s="11"/>
    </row>
    <row r="535" spans="4:6">
      <c r="D535" s="15"/>
      <c r="F535" s="11"/>
    </row>
    <row r="536" spans="4:6">
      <c r="D536" s="15"/>
      <c r="F536" s="11"/>
    </row>
    <row r="537" spans="4:6">
      <c r="D537" s="15"/>
      <c r="F537" s="11"/>
    </row>
    <row r="538" spans="4:6">
      <c r="D538" s="15"/>
      <c r="F538" s="11"/>
    </row>
    <row r="539" spans="4:6">
      <c r="D539" s="15"/>
      <c r="F539" s="11"/>
    </row>
    <row r="540" spans="4:6">
      <c r="D540" s="15"/>
      <c r="F540" s="11"/>
    </row>
    <row r="541" spans="4:6">
      <c r="D541" s="15"/>
      <c r="F541" s="11"/>
    </row>
    <row r="542" spans="4:6">
      <c r="D542" s="15"/>
      <c r="F542" s="11"/>
    </row>
    <row r="543" spans="4:6">
      <c r="D543" s="15"/>
      <c r="F543" s="11"/>
    </row>
    <row r="544" spans="4:6">
      <c r="D544" s="15"/>
      <c r="F544" s="11"/>
    </row>
    <row r="545" spans="4:6">
      <c r="D545" s="15"/>
      <c r="F545" s="11"/>
    </row>
    <row r="546" spans="4:6">
      <c r="D546" s="15"/>
      <c r="F546" s="11"/>
    </row>
    <row r="547" spans="4:6">
      <c r="D547" s="15"/>
      <c r="F547" s="11"/>
    </row>
    <row r="548" spans="4:6">
      <c r="D548" s="15"/>
      <c r="F548" s="11"/>
    </row>
    <row r="549" spans="4:6">
      <c r="D549" s="15"/>
      <c r="F549" s="11"/>
    </row>
    <row r="550" spans="4:6">
      <c r="D550" s="15"/>
      <c r="F550" s="11"/>
    </row>
    <row r="551" spans="4:6">
      <c r="D551" s="15"/>
      <c r="F551" s="11"/>
    </row>
    <row r="552" spans="4:6">
      <c r="D552" s="15"/>
      <c r="F552" s="11"/>
    </row>
    <row r="553" spans="4:6">
      <c r="D553" s="15"/>
      <c r="F553" s="11"/>
    </row>
    <row r="554" spans="4:6">
      <c r="D554" s="15"/>
      <c r="F554" s="11"/>
    </row>
    <row r="555" spans="4:6">
      <c r="D555" s="15"/>
      <c r="F555" s="11"/>
    </row>
    <row r="556" spans="4:6">
      <c r="D556" s="15"/>
      <c r="F556" s="11"/>
    </row>
    <row r="557" spans="4:6">
      <c r="D557" s="15"/>
      <c r="F557" s="11"/>
    </row>
    <row r="558" spans="4:6">
      <c r="D558" s="15"/>
      <c r="F558" s="11"/>
    </row>
    <row r="559" spans="4:6">
      <c r="D559" s="15"/>
      <c r="F559" s="11"/>
    </row>
    <row r="560" spans="4:6">
      <c r="D560" s="15"/>
      <c r="F560" s="11"/>
    </row>
    <row r="561" spans="4:6">
      <c r="D561" s="15"/>
      <c r="F561" s="11"/>
    </row>
    <row r="562" spans="4:6">
      <c r="D562" s="15"/>
      <c r="F562" s="11"/>
    </row>
    <row r="563" spans="4:6">
      <c r="D563" s="15"/>
      <c r="F563" s="11"/>
    </row>
    <row r="564" spans="4:6">
      <c r="D564" s="15"/>
      <c r="F564" s="11"/>
    </row>
    <row r="565" spans="4:6">
      <c r="D565" s="15"/>
      <c r="F565" s="11"/>
    </row>
    <row r="566" spans="4:6">
      <c r="D566" s="15"/>
      <c r="F566" s="11"/>
    </row>
    <row r="567" spans="4:6">
      <c r="D567" s="15"/>
      <c r="F567" s="11"/>
    </row>
    <row r="568" spans="4:6">
      <c r="D568" s="15"/>
      <c r="F568" s="11"/>
    </row>
    <row r="569" spans="4:6">
      <c r="D569" s="15"/>
      <c r="F569" s="11"/>
    </row>
    <row r="570" spans="4:6">
      <c r="D570" s="15"/>
      <c r="F570" s="11"/>
    </row>
    <row r="571" spans="4:6">
      <c r="D571" s="15"/>
      <c r="F571" s="11"/>
    </row>
    <row r="572" spans="4:6">
      <c r="D572" s="15"/>
      <c r="F572" s="11"/>
    </row>
    <row r="573" spans="4:6">
      <c r="D573" s="15"/>
      <c r="F573" s="11"/>
    </row>
    <row r="574" spans="4:6">
      <c r="D574" s="15"/>
      <c r="F574" s="11"/>
    </row>
    <row r="575" spans="4:6">
      <c r="D575" s="15"/>
      <c r="F575" s="11"/>
    </row>
    <row r="576" spans="4:6">
      <c r="D576" s="15"/>
      <c r="F576" s="11"/>
    </row>
    <row r="577" spans="4:6">
      <c r="D577" s="15"/>
      <c r="F577" s="11"/>
    </row>
    <row r="578" spans="4:6">
      <c r="D578" s="15"/>
      <c r="F578" s="11"/>
    </row>
    <row r="579" spans="4:6">
      <c r="D579" s="15"/>
      <c r="F579" s="11"/>
    </row>
    <row r="580" spans="4:6">
      <c r="D580" s="15"/>
      <c r="F580" s="11"/>
    </row>
    <row r="581" spans="4:6">
      <c r="D581" s="15"/>
      <c r="F581" s="11"/>
    </row>
    <row r="582" spans="4:6">
      <c r="D582" s="15"/>
      <c r="F582" s="11"/>
    </row>
    <row r="583" spans="4:6">
      <c r="D583" s="15"/>
      <c r="F583" s="11"/>
    </row>
    <row r="584" spans="4:6">
      <c r="D584" s="15"/>
      <c r="F584" s="11"/>
    </row>
    <row r="585" spans="4:6">
      <c r="D585" s="15"/>
      <c r="F585" s="11"/>
    </row>
    <row r="586" spans="4:6">
      <c r="D586" s="15"/>
      <c r="F586" s="11"/>
    </row>
    <row r="587" spans="4:6">
      <c r="D587" s="15"/>
      <c r="F587" s="11"/>
    </row>
    <row r="588" spans="4:6">
      <c r="D588" s="15"/>
      <c r="F588" s="11"/>
    </row>
    <row r="589" spans="4:6">
      <c r="D589" s="15"/>
      <c r="F589" s="11"/>
    </row>
    <row r="590" spans="4:6">
      <c r="D590" s="15"/>
      <c r="F590" s="11"/>
    </row>
    <row r="591" spans="4:6">
      <c r="D591" s="15"/>
      <c r="F591" s="11"/>
    </row>
    <row r="592" spans="4:6">
      <c r="D592" s="15"/>
      <c r="F592" s="11"/>
    </row>
    <row r="593" spans="4:6">
      <c r="D593" s="15"/>
      <c r="F593" s="11"/>
    </row>
    <row r="594" spans="4:6">
      <c r="D594" s="15"/>
      <c r="F594" s="11"/>
    </row>
    <row r="595" spans="4:6">
      <c r="D595" s="15"/>
      <c r="F595" s="11"/>
    </row>
    <row r="596" spans="4:6">
      <c r="D596" s="15"/>
      <c r="F596" s="11"/>
    </row>
    <row r="597" spans="4:6">
      <c r="D597" s="15"/>
      <c r="F597" s="11"/>
    </row>
    <row r="598" spans="4:6">
      <c r="D598" s="15"/>
      <c r="F598" s="11"/>
    </row>
    <row r="599" spans="4:6">
      <c r="D599" s="15"/>
      <c r="F599" s="11"/>
    </row>
    <row r="600" spans="4:6">
      <c r="D600" s="15"/>
      <c r="F600" s="11"/>
    </row>
    <row r="601" spans="4:6">
      <c r="D601" s="15"/>
      <c r="F601" s="11"/>
    </row>
    <row r="602" spans="4:6">
      <c r="D602" s="15"/>
      <c r="F602" s="11"/>
    </row>
    <row r="603" spans="4:6">
      <c r="D603" s="15"/>
      <c r="F603" s="11"/>
    </row>
    <row r="604" spans="4:6">
      <c r="D604" s="15"/>
      <c r="F604" s="11"/>
    </row>
    <row r="605" spans="4:6">
      <c r="D605" s="15"/>
      <c r="F605" s="11"/>
    </row>
    <row r="606" spans="4:6">
      <c r="D606" s="15"/>
      <c r="F606" s="11"/>
    </row>
    <row r="607" spans="4:6">
      <c r="D607" s="15"/>
      <c r="F607" s="11"/>
    </row>
    <row r="608" spans="4:6">
      <c r="D608" s="15"/>
      <c r="F608" s="11"/>
    </row>
    <row r="609" spans="4:6">
      <c r="D609" s="15"/>
      <c r="F609" s="11"/>
    </row>
    <row r="610" spans="4:6">
      <c r="D610" s="15"/>
      <c r="F610" s="11"/>
    </row>
    <row r="611" spans="4:6">
      <c r="D611" s="15"/>
      <c r="F611" s="11"/>
    </row>
    <row r="612" spans="4:6">
      <c r="D612" s="15"/>
      <c r="F612" s="11"/>
    </row>
    <row r="613" spans="4:6">
      <c r="D613" s="15"/>
      <c r="F613" s="11"/>
    </row>
    <row r="614" spans="4:6">
      <c r="D614" s="15"/>
      <c r="F614" s="11"/>
    </row>
    <row r="615" spans="4:6">
      <c r="D615" s="15"/>
      <c r="F615" s="11"/>
    </row>
    <row r="616" spans="4:6">
      <c r="D616" s="15"/>
      <c r="F616" s="11"/>
    </row>
    <row r="617" spans="4:6">
      <c r="D617" s="15"/>
      <c r="F617" s="11"/>
    </row>
    <row r="618" spans="4:6">
      <c r="D618" s="15"/>
      <c r="F618" s="11"/>
    </row>
    <row r="619" spans="4:6">
      <c r="D619" s="15"/>
      <c r="F619" s="11"/>
    </row>
    <row r="620" spans="4:6">
      <c r="D620" s="15"/>
      <c r="F620" s="11"/>
    </row>
    <row r="621" spans="4:6">
      <c r="D621" s="15"/>
      <c r="F621" s="11"/>
    </row>
    <row r="622" spans="4:6">
      <c r="D622" s="15"/>
      <c r="F622" s="11"/>
    </row>
    <row r="623" spans="4:6">
      <c r="D623" s="15"/>
      <c r="F623" s="11"/>
    </row>
    <row r="624" spans="4:6">
      <c r="D624" s="15"/>
      <c r="F624" s="11"/>
    </row>
    <row r="625" spans="4:6">
      <c r="D625" s="15"/>
      <c r="F625" s="11"/>
    </row>
    <row r="626" spans="4:6">
      <c r="D626" s="15"/>
      <c r="F626" s="11"/>
    </row>
    <row r="627" spans="4:6">
      <c r="D627" s="15"/>
      <c r="F627" s="11"/>
    </row>
    <row r="628" spans="4:6">
      <c r="D628" s="15"/>
      <c r="F628" s="11"/>
    </row>
    <row r="629" spans="4:6">
      <c r="D629" s="15"/>
      <c r="F629" s="11"/>
    </row>
    <row r="630" spans="4:6">
      <c r="D630" s="15"/>
      <c r="F630" s="11"/>
    </row>
    <row r="631" spans="4:6">
      <c r="D631" s="15"/>
      <c r="F631" s="11"/>
    </row>
    <row r="632" spans="4:6">
      <c r="D632" s="15"/>
      <c r="F632" s="11"/>
    </row>
    <row r="633" spans="4:6">
      <c r="D633" s="15"/>
      <c r="F633" s="11"/>
    </row>
    <row r="634" spans="4:6">
      <c r="D634" s="15"/>
      <c r="F634" s="11"/>
    </row>
    <row r="635" spans="4:6">
      <c r="D635" s="15"/>
      <c r="F635" s="11"/>
    </row>
    <row r="636" spans="4:6">
      <c r="D636" s="15"/>
      <c r="F636" s="11"/>
    </row>
    <row r="637" spans="4:6">
      <c r="D637" s="15"/>
      <c r="F637" s="11"/>
    </row>
    <row r="638" spans="4:6">
      <c r="D638" s="15"/>
      <c r="F638" s="11"/>
    </row>
    <row r="639" spans="4:6">
      <c r="D639" s="15"/>
      <c r="F639" s="11"/>
    </row>
    <row r="640" spans="4:6">
      <c r="D640" s="15"/>
      <c r="F640" s="11"/>
    </row>
    <row r="641" spans="4:6">
      <c r="D641" s="15"/>
      <c r="F641" s="11"/>
    </row>
    <row r="642" spans="4:6">
      <c r="D642" s="15"/>
      <c r="F642" s="11"/>
    </row>
    <row r="643" spans="4:6">
      <c r="D643" s="15"/>
      <c r="F643" s="11"/>
    </row>
    <row r="644" spans="4:6">
      <c r="D644" s="15"/>
      <c r="F644" s="11"/>
    </row>
    <row r="645" spans="4:6">
      <c r="D645" s="15"/>
      <c r="F645" s="11"/>
    </row>
    <row r="646" spans="4:6">
      <c r="D646" s="15"/>
      <c r="F646" s="11"/>
    </row>
    <row r="647" spans="4:6">
      <c r="D647" s="15"/>
      <c r="F647" s="11"/>
    </row>
    <row r="648" spans="4:6">
      <c r="D648" s="15"/>
      <c r="F648" s="11"/>
    </row>
    <row r="649" spans="4:6">
      <c r="D649" s="15"/>
      <c r="F649" s="11"/>
    </row>
    <row r="650" spans="4:6">
      <c r="D650" s="15"/>
      <c r="F650" s="11"/>
    </row>
    <row r="651" spans="4:6">
      <c r="D651" s="15"/>
      <c r="F651" s="11"/>
    </row>
    <row r="652" spans="4:6">
      <c r="D652" s="15"/>
      <c r="F652" s="11"/>
    </row>
    <row r="653" spans="4:6">
      <c r="D653" s="15"/>
      <c r="F653" s="11"/>
    </row>
    <row r="654" spans="4:6">
      <c r="D654" s="15"/>
      <c r="F654" s="11"/>
    </row>
    <row r="655" spans="4:6">
      <c r="D655" s="15"/>
      <c r="F655" s="11"/>
    </row>
    <row r="656" spans="4:6">
      <c r="D656" s="15"/>
      <c r="F656" s="11"/>
    </row>
    <row r="657" spans="4:6">
      <c r="D657" s="15"/>
      <c r="F657" s="11"/>
    </row>
    <row r="658" spans="4:6">
      <c r="D658" s="15"/>
      <c r="F658" s="11"/>
    </row>
    <row r="659" spans="4:6">
      <c r="D659" s="15"/>
      <c r="F659" s="11"/>
    </row>
    <row r="660" spans="4:6">
      <c r="D660" s="15"/>
      <c r="F660" s="11"/>
    </row>
    <row r="661" spans="4:6">
      <c r="D661" s="15"/>
      <c r="F661" s="11"/>
    </row>
    <row r="662" spans="4:6">
      <c r="D662" s="15"/>
      <c r="F662" s="11"/>
    </row>
    <row r="663" spans="4:6">
      <c r="D663" s="15"/>
      <c r="F663" s="11"/>
    </row>
    <row r="664" spans="4:6">
      <c r="D664" s="15"/>
      <c r="F664" s="11"/>
    </row>
    <row r="665" spans="4:6">
      <c r="D665" s="15"/>
      <c r="F665" s="11"/>
    </row>
    <row r="666" spans="4:6">
      <c r="D666" s="15"/>
      <c r="F666" s="11"/>
    </row>
    <row r="667" spans="4:6">
      <c r="D667" s="15"/>
      <c r="F667" s="11"/>
    </row>
    <row r="668" spans="4:6">
      <c r="D668" s="15"/>
      <c r="F668" s="11"/>
    </row>
    <row r="669" spans="4:6">
      <c r="D669" s="15"/>
      <c r="F669" s="11"/>
    </row>
    <row r="670" spans="4:6">
      <c r="D670" s="15"/>
      <c r="F670" s="11"/>
    </row>
    <row r="671" spans="4:6">
      <c r="D671" s="15"/>
      <c r="F671" s="11"/>
    </row>
    <row r="672" spans="4:6">
      <c r="D672" s="15"/>
      <c r="F672" s="11"/>
    </row>
    <row r="673" spans="4:6">
      <c r="D673" s="15"/>
      <c r="F673" s="11"/>
    </row>
    <row r="674" spans="4:6">
      <c r="D674" s="15"/>
      <c r="F674" s="11"/>
    </row>
    <row r="675" spans="4:6">
      <c r="D675" s="15"/>
      <c r="F675" s="11"/>
    </row>
    <row r="676" spans="4:6">
      <c r="D676" s="15"/>
      <c r="F676" s="11"/>
    </row>
    <row r="677" spans="4:6">
      <c r="D677" s="15"/>
      <c r="F677" s="11"/>
    </row>
    <row r="678" spans="4:6">
      <c r="D678" s="15"/>
      <c r="F678" s="11"/>
    </row>
    <row r="679" spans="4:6">
      <c r="D679" s="15"/>
      <c r="F679" s="11"/>
    </row>
    <row r="680" spans="4:6">
      <c r="D680" s="15"/>
      <c r="F680" s="11"/>
    </row>
    <row r="681" spans="4:6">
      <c r="D681" s="15"/>
      <c r="F681" s="11"/>
    </row>
    <row r="682" spans="4:6">
      <c r="D682" s="15"/>
      <c r="F682" s="11"/>
    </row>
    <row r="683" spans="4:6">
      <c r="D683" s="15"/>
      <c r="F683" s="11"/>
    </row>
    <row r="684" spans="4:6">
      <c r="D684" s="15"/>
      <c r="F684" s="11"/>
    </row>
    <row r="685" spans="4:6">
      <c r="D685" s="15"/>
      <c r="F685" s="11"/>
    </row>
    <row r="686" spans="4:6">
      <c r="D686" s="15"/>
      <c r="F686" s="11"/>
    </row>
    <row r="687" spans="4:6">
      <c r="D687" s="15"/>
      <c r="F687" s="11"/>
    </row>
    <row r="688" spans="4:6">
      <c r="D688" s="15"/>
      <c r="F688" s="11"/>
    </row>
    <row r="689" spans="4:6">
      <c r="D689" s="15"/>
      <c r="F689" s="11"/>
    </row>
    <row r="690" spans="4:6">
      <c r="D690" s="15"/>
      <c r="F690" s="11"/>
    </row>
    <row r="691" spans="4:6">
      <c r="D691" s="15"/>
      <c r="F691" s="11"/>
    </row>
    <row r="692" spans="4:6">
      <c r="D692" s="15"/>
      <c r="F692" s="11"/>
    </row>
    <row r="693" spans="4:6">
      <c r="D693" s="15"/>
      <c r="F693" s="11"/>
    </row>
    <row r="694" spans="4:6">
      <c r="D694" s="15"/>
      <c r="F694" s="11"/>
    </row>
    <row r="695" spans="4:6">
      <c r="D695" s="15"/>
      <c r="F695" s="11"/>
    </row>
    <row r="696" spans="4:6">
      <c r="D696" s="15"/>
      <c r="F696" s="11"/>
    </row>
    <row r="697" spans="4:6">
      <c r="D697" s="15"/>
      <c r="F697" s="11"/>
    </row>
    <row r="698" spans="4:6">
      <c r="D698" s="15"/>
      <c r="F698" s="11"/>
    </row>
    <row r="699" spans="4:6">
      <c r="D699" s="15"/>
      <c r="F699" s="11"/>
    </row>
    <row r="700" spans="4:6">
      <c r="D700" s="15"/>
      <c r="F700" s="11"/>
    </row>
    <row r="701" spans="4:6">
      <c r="D701" s="15"/>
      <c r="F701" s="11"/>
    </row>
    <row r="702" spans="4:6">
      <c r="D702" s="15"/>
      <c r="F702" s="11"/>
    </row>
    <row r="703" spans="4:6">
      <c r="D703" s="15"/>
      <c r="F703" s="11"/>
    </row>
    <row r="704" spans="4:6">
      <c r="D704" s="15"/>
      <c r="F704" s="11"/>
    </row>
    <row r="705" spans="4:6">
      <c r="D705" s="15"/>
      <c r="F705" s="11"/>
    </row>
    <row r="706" spans="4:6">
      <c r="D706" s="15"/>
      <c r="F706" s="11"/>
    </row>
    <row r="707" spans="4:6">
      <c r="D707" s="15"/>
      <c r="F707" s="11"/>
    </row>
    <row r="708" spans="4:6">
      <c r="D708" s="15"/>
      <c r="F708" s="11"/>
    </row>
    <row r="709" spans="4:6">
      <c r="D709" s="15"/>
      <c r="F709" s="11"/>
    </row>
    <row r="710" spans="4:6">
      <c r="D710" s="15"/>
      <c r="F710" s="11"/>
    </row>
    <row r="711" spans="4:6">
      <c r="D711" s="15"/>
      <c r="F711" s="11"/>
    </row>
    <row r="712" spans="4:6">
      <c r="D712" s="15"/>
      <c r="F712" s="11"/>
    </row>
    <row r="713" spans="4:6">
      <c r="D713" s="15"/>
      <c r="F713" s="11"/>
    </row>
    <row r="714" spans="4:6">
      <c r="D714" s="15"/>
      <c r="F714" s="11"/>
    </row>
    <row r="715" spans="4:6">
      <c r="D715" s="15"/>
      <c r="F715" s="11"/>
    </row>
    <row r="716" spans="4:6">
      <c r="D716" s="15"/>
      <c r="F716" s="11"/>
    </row>
    <row r="717" spans="4:6">
      <c r="D717" s="15"/>
      <c r="F717" s="11"/>
    </row>
    <row r="718" spans="4:6">
      <c r="D718" s="15"/>
      <c r="F718" s="11"/>
    </row>
    <row r="719" spans="4:6">
      <c r="D719" s="15"/>
      <c r="F719" s="11"/>
    </row>
    <row r="720" spans="4:6">
      <c r="D720" s="15"/>
      <c r="F720" s="11"/>
    </row>
    <row r="721" spans="4:6">
      <c r="D721" s="15"/>
      <c r="F721" s="11"/>
    </row>
    <row r="722" spans="4:6">
      <c r="D722" s="15"/>
      <c r="F722" s="11"/>
    </row>
    <row r="723" spans="4:6">
      <c r="D723" s="15"/>
      <c r="F723" s="11"/>
    </row>
    <row r="724" spans="4:6">
      <c r="D724" s="15"/>
      <c r="F724" s="11"/>
    </row>
    <row r="725" spans="4:6">
      <c r="D725" s="15"/>
      <c r="F725" s="11"/>
    </row>
    <row r="726" spans="4:6">
      <c r="D726" s="15"/>
      <c r="F726" s="11"/>
    </row>
    <row r="727" spans="4:6">
      <c r="D727" s="15"/>
      <c r="F727" s="11"/>
    </row>
    <row r="728" spans="4:6">
      <c r="D728" s="15"/>
      <c r="F728" s="11"/>
    </row>
    <row r="729" spans="4:6">
      <c r="D729" s="15"/>
      <c r="F729" s="11"/>
    </row>
    <row r="730" spans="4:6">
      <c r="D730" s="15"/>
      <c r="F730" s="11"/>
    </row>
    <row r="731" spans="4:6">
      <c r="D731" s="15"/>
      <c r="F731" s="11"/>
    </row>
    <row r="732" spans="4:6">
      <c r="D732" s="15"/>
      <c r="F732" s="11"/>
    </row>
    <row r="733" spans="4:6">
      <c r="D733" s="15"/>
      <c r="F733" s="11"/>
    </row>
    <row r="734" spans="4:6">
      <c r="D734" s="15"/>
      <c r="F734" s="11"/>
    </row>
    <row r="735" spans="4:6">
      <c r="D735" s="15"/>
      <c r="F735" s="11"/>
    </row>
    <row r="736" spans="4:6">
      <c r="D736" s="15"/>
      <c r="F736" s="11"/>
    </row>
    <row r="737" spans="4:6">
      <c r="D737" s="15"/>
      <c r="F737" s="11"/>
    </row>
    <row r="738" spans="4:6">
      <c r="D738" s="15"/>
      <c r="F738" s="11"/>
    </row>
    <row r="739" spans="4:6">
      <c r="D739" s="15"/>
      <c r="F739" s="11"/>
    </row>
    <row r="740" spans="4:6">
      <c r="D740" s="15"/>
      <c r="F740" s="11"/>
    </row>
    <row r="741" spans="4:6">
      <c r="D741" s="15"/>
      <c r="F741" s="11"/>
    </row>
    <row r="742" spans="4:6">
      <c r="D742" s="15"/>
      <c r="F742" s="11"/>
    </row>
    <row r="743" spans="4:6">
      <c r="D743" s="15"/>
      <c r="F743" s="11"/>
    </row>
    <row r="744" spans="4:6">
      <c r="D744" s="15"/>
      <c r="F744" s="11"/>
    </row>
    <row r="745" spans="4:6">
      <c r="D745" s="15"/>
      <c r="F745" s="11"/>
    </row>
    <row r="746" spans="4:6">
      <c r="D746" s="15"/>
      <c r="F746" s="11"/>
    </row>
    <row r="747" spans="4:6">
      <c r="D747" s="15"/>
      <c r="F747" s="11"/>
    </row>
    <row r="748" spans="4:6">
      <c r="D748" s="15"/>
      <c r="F748" s="11"/>
    </row>
    <row r="749" spans="4:6">
      <c r="D749" s="15"/>
      <c r="F749" s="11"/>
    </row>
    <row r="750" spans="4:6">
      <c r="D750" s="15"/>
      <c r="F750" s="11"/>
    </row>
    <row r="751" spans="4:6">
      <c r="D751" s="15"/>
      <c r="F751" s="11"/>
    </row>
    <row r="752" spans="4:6">
      <c r="D752" s="15"/>
      <c r="F752" s="11"/>
    </row>
    <row r="753" spans="4:6">
      <c r="D753" s="15"/>
      <c r="F753" s="11"/>
    </row>
    <row r="754" spans="4:6">
      <c r="D754" s="15"/>
      <c r="F754" s="11"/>
    </row>
    <row r="755" spans="4:6">
      <c r="D755" s="15"/>
      <c r="F755" s="11"/>
    </row>
    <row r="756" spans="4:6">
      <c r="D756" s="15"/>
      <c r="F756" s="11"/>
    </row>
    <row r="757" spans="4:6">
      <c r="D757" s="15"/>
      <c r="F757" s="11"/>
    </row>
    <row r="758" spans="4:6">
      <c r="D758" s="15"/>
      <c r="F758" s="11"/>
    </row>
    <row r="759" spans="4:6">
      <c r="D759" s="15"/>
      <c r="F759" s="11"/>
    </row>
    <row r="760" spans="4:6">
      <c r="D760" s="15"/>
      <c r="F760" s="11"/>
    </row>
    <row r="761" spans="4:6">
      <c r="D761" s="15"/>
      <c r="F761" s="11"/>
    </row>
    <row r="762" spans="4:6">
      <c r="D762" s="15"/>
      <c r="F762" s="11"/>
    </row>
    <row r="763" spans="4:6">
      <c r="D763" s="15"/>
      <c r="F763" s="11"/>
    </row>
    <row r="764" spans="4:6">
      <c r="D764" s="15"/>
      <c r="F764" s="11"/>
    </row>
    <row r="765" spans="4:6">
      <c r="D765" s="15"/>
      <c r="F765" s="11"/>
    </row>
    <row r="766" spans="4:6">
      <c r="D766" s="15"/>
      <c r="F766" s="11"/>
    </row>
    <row r="767" spans="4:6">
      <c r="D767" s="15"/>
      <c r="F767" s="11"/>
    </row>
    <row r="768" spans="4:6">
      <c r="D768" s="15"/>
      <c r="F768" s="11"/>
    </row>
    <row r="769" spans="4:6">
      <c r="D769" s="15"/>
      <c r="F769" s="11"/>
    </row>
    <row r="770" spans="4:6">
      <c r="D770" s="15"/>
      <c r="F770" s="11"/>
    </row>
    <row r="771" spans="4:6">
      <c r="D771" s="15"/>
      <c r="F771" s="11"/>
    </row>
    <row r="772" spans="4:6">
      <c r="D772" s="15"/>
      <c r="F772" s="11"/>
    </row>
    <row r="773" spans="4:6">
      <c r="D773" s="15"/>
      <c r="F773" s="11"/>
    </row>
    <row r="774" spans="4:6">
      <c r="D774" s="15"/>
      <c r="F774" s="11"/>
    </row>
    <row r="775" spans="4:6">
      <c r="D775" s="15"/>
      <c r="F775" s="11"/>
    </row>
    <row r="776" spans="4:6">
      <c r="D776" s="15"/>
      <c r="F776" s="11"/>
    </row>
    <row r="777" spans="4:6">
      <c r="D777" s="15"/>
      <c r="F777" s="11"/>
    </row>
    <row r="778" spans="4:6">
      <c r="D778" s="15"/>
      <c r="F778" s="11"/>
    </row>
    <row r="779" spans="4:6">
      <c r="D779" s="15"/>
      <c r="F779" s="11"/>
    </row>
    <row r="780" spans="4:6">
      <c r="D780" s="15"/>
      <c r="F780" s="11"/>
    </row>
    <row r="781" spans="4:6">
      <c r="D781" s="15"/>
      <c r="F781" s="11"/>
    </row>
    <row r="782" spans="4:6">
      <c r="D782" s="15"/>
      <c r="F782" s="11"/>
    </row>
    <row r="783" spans="4:6">
      <c r="D783" s="15"/>
      <c r="F783" s="11"/>
    </row>
    <row r="784" spans="4:6">
      <c r="D784" s="15"/>
      <c r="F784" s="11"/>
    </row>
    <row r="785" spans="4:6">
      <c r="D785" s="15"/>
      <c r="F785" s="11"/>
    </row>
    <row r="786" spans="4:6">
      <c r="D786" s="15"/>
      <c r="F786" s="11"/>
    </row>
    <row r="787" spans="4:6">
      <c r="D787" s="15"/>
      <c r="F787" s="11"/>
    </row>
    <row r="788" spans="4:6">
      <c r="D788" s="15"/>
      <c r="F788" s="11"/>
    </row>
    <row r="789" spans="4:6">
      <c r="D789" s="15"/>
      <c r="F789" s="11"/>
    </row>
    <row r="790" spans="4:6">
      <c r="D790" s="15"/>
      <c r="F790" s="11"/>
    </row>
    <row r="791" spans="4:6">
      <c r="D791" s="15"/>
      <c r="F791" s="11"/>
    </row>
    <row r="792" spans="4:6">
      <c r="D792" s="15"/>
      <c r="F792" s="11"/>
    </row>
    <row r="793" spans="4:6">
      <c r="D793" s="15"/>
      <c r="F793" s="11"/>
    </row>
    <row r="794" spans="4:6">
      <c r="D794" s="15"/>
      <c r="F794" s="11"/>
    </row>
    <row r="795" spans="4:6">
      <c r="D795" s="15"/>
      <c r="F795" s="11"/>
    </row>
    <row r="796" spans="4:6">
      <c r="D796" s="15"/>
      <c r="F796" s="11"/>
    </row>
    <row r="797" spans="4:6">
      <c r="D797" s="15"/>
      <c r="F797" s="11"/>
    </row>
    <row r="798" spans="4:6">
      <c r="D798" s="15"/>
      <c r="F798" s="11"/>
    </row>
    <row r="799" spans="4:6">
      <c r="D799" s="15"/>
      <c r="F799" s="11"/>
    </row>
    <row r="800" spans="4:6">
      <c r="D800" s="15"/>
      <c r="F800" s="11"/>
    </row>
    <row r="801" spans="4:6">
      <c r="D801" s="15"/>
      <c r="F801" s="11"/>
    </row>
    <row r="802" spans="4:6">
      <c r="D802" s="15"/>
      <c r="F802" s="11"/>
    </row>
    <row r="803" spans="4:6">
      <c r="D803" s="15"/>
      <c r="F803" s="11"/>
    </row>
    <row r="804" spans="4:6">
      <c r="D804" s="15"/>
      <c r="F804" s="11"/>
    </row>
    <row r="805" spans="4:6">
      <c r="D805" s="15"/>
      <c r="F805" s="11"/>
    </row>
    <row r="806" spans="4:6">
      <c r="D806" s="15"/>
      <c r="F806" s="11"/>
    </row>
    <row r="807" spans="4:6">
      <c r="D807" s="15"/>
      <c r="F807" s="11"/>
    </row>
    <row r="808" spans="4:6">
      <c r="D808" s="15"/>
      <c r="F808" s="11"/>
    </row>
    <row r="809" spans="4:6">
      <c r="D809" s="15"/>
      <c r="F809" s="11"/>
    </row>
    <row r="810" spans="4:6">
      <c r="D810" s="15"/>
      <c r="F810" s="11"/>
    </row>
    <row r="811" spans="4:6">
      <c r="D811" s="15"/>
      <c r="F811" s="11"/>
    </row>
    <row r="812" spans="4:6">
      <c r="D812" s="15"/>
      <c r="F812" s="11"/>
    </row>
    <row r="813" spans="4:6">
      <c r="D813" s="15"/>
      <c r="F813" s="11"/>
    </row>
    <row r="814" spans="4:6">
      <c r="D814" s="15"/>
      <c r="F814" s="11"/>
    </row>
    <row r="815" spans="4:6">
      <c r="D815" s="15"/>
      <c r="F815" s="11"/>
    </row>
    <row r="816" spans="4:6">
      <c r="D816" s="15"/>
      <c r="F816" s="11"/>
    </row>
    <row r="817" spans="4:6">
      <c r="D817" s="15"/>
      <c r="F817" s="11"/>
    </row>
    <row r="818" spans="4:6">
      <c r="D818" s="15"/>
      <c r="F818" s="11"/>
    </row>
    <row r="819" spans="4:6">
      <c r="D819" s="15"/>
      <c r="F819" s="11"/>
    </row>
    <row r="820" spans="4:6">
      <c r="D820" s="15"/>
      <c r="F820" s="11"/>
    </row>
    <row r="821" spans="4:6">
      <c r="D821" s="15"/>
      <c r="F821" s="11"/>
    </row>
    <row r="822" spans="4:6">
      <c r="D822" s="15"/>
      <c r="F822" s="11"/>
    </row>
    <row r="823" spans="4:6">
      <c r="D823" s="15"/>
      <c r="F823" s="11"/>
    </row>
    <row r="824" spans="4:6">
      <c r="D824" s="15"/>
      <c r="F824" s="11"/>
    </row>
    <row r="825" spans="4:6">
      <c r="D825" s="15"/>
      <c r="F825" s="11"/>
    </row>
    <row r="826" spans="4:6">
      <c r="D826" s="15"/>
      <c r="F826" s="11"/>
    </row>
    <row r="827" spans="4:6">
      <c r="D827" s="15"/>
      <c r="F827" s="11"/>
    </row>
    <row r="828" spans="4:6">
      <c r="D828" s="15"/>
      <c r="F828" s="11"/>
    </row>
    <row r="829" spans="4:6">
      <c r="D829" s="15"/>
      <c r="F829" s="11"/>
    </row>
    <row r="830" spans="4:6">
      <c r="D830" s="15"/>
      <c r="F830" s="11"/>
    </row>
    <row r="831" spans="4:6">
      <c r="D831" s="15"/>
      <c r="F831" s="11"/>
    </row>
    <row r="832" spans="4:6">
      <c r="D832" s="15"/>
      <c r="F832" s="11"/>
    </row>
    <row r="833" spans="4:6">
      <c r="D833" s="15"/>
      <c r="F833" s="11"/>
    </row>
    <row r="834" spans="4:6">
      <c r="D834" s="15"/>
      <c r="F834" s="11"/>
    </row>
    <row r="835" spans="4:6">
      <c r="D835" s="15"/>
      <c r="F835" s="11"/>
    </row>
    <row r="836" spans="4:6">
      <c r="D836" s="15"/>
      <c r="F836" s="11"/>
    </row>
    <row r="837" spans="4:6">
      <c r="D837" s="15"/>
      <c r="F837" s="11"/>
    </row>
    <row r="838" spans="4:6">
      <c r="D838" s="15"/>
      <c r="F838" s="11"/>
    </row>
    <row r="839" spans="4:6">
      <c r="D839" s="15"/>
      <c r="F839" s="11"/>
    </row>
    <row r="840" spans="4:6">
      <c r="D840" s="15"/>
      <c r="F840" s="11"/>
    </row>
    <row r="841" spans="4:6">
      <c r="D841" s="15"/>
      <c r="F841" s="11"/>
    </row>
    <row r="842" spans="4:6">
      <c r="D842" s="15"/>
      <c r="F842" s="11"/>
    </row>
    <row r="843" spans="4:6">
      <c r="D843" s="15"/>
      <c r="F843" s="11"/>
    </row>
    <row r="844" spans="4:6">
      <c r="D844" s="15"/>
      <c r="F844" s="11"/>
    </row>
    <row r="845" spans="4:6">
      <c r="D845" s="15"/>
      <c r="F845" s="11"/>
    </row>
    <row r="846" spans="4:6">
      <c r="D846" s="15"/>
      <c r="F846" s="11"/>
    </row>
    <row r="847" spans="4:6">
      <c r="D847" s="15"/>
      <c r="F847" s="11"/>
    </row>
    <row r="848" spans="4:6">
      <c r="D848" s="15"/>
      <c r="F848" s="11"/>
    </row>
    <row r="849" spans="4:6">
      <c r="D849" s="15"/>
      <c r="F849" s="11"/>
    </row>
    <row r="850" spans="4:6">
      <c r="D850" s="15"/>
      <c r="F850" s="11"/>
    </row>
    <row r="851" spans="4:6">
      <c r="D851" s="15"/>
      <c r="F851" s="11"/>
    </row>
    <row r="852" spans="4:6">
      <c r="D852" s="15"/>
      <c r="F852" s="11"/>
    </row>
    <row r="853" spans="4:6">
      <c r="D853" s="15"/>
      <c r="F853" s="11"/>
    </row>
    <row r="854" spans="4:6">
      <c r="D854" s="15"/>
      <c r="F854" s="11"/>
    </row>
    <row r="855" spans="4:6">
      <c r="D855" s="15"/>
      <c r="F855" s="11"/>
    </row>
    <row r="856" spans="4:6">
      <c r="D856" s="15"/>
      <c r="F856" s="11"/>
    </row>
    <row r="857" spans="4:6">
      <c r="D857" s="15"/>
      <c r="F857" s="11"/>
    </row>
    <row r="858" spans="4:6">
      <c r="D858" s="15"/>
      <c r="F858" s="11"/>
    </row>
    <row r="859" spans="4:6">
      <c r="D859" s="15"/>
      <c r="F859" s="11"/>
    </row>
    <row r="860" spans="4:6">
      <c r="D860" s="15"/>
      <c r="F860" s="11"/>
    </row>
    <row r="861" spans="4:6">
      <c r="D861" s="15"/>
      <c r="F861" s="11"/>
    </row>
    <row r="862" spans="4:6">
      <c r="D862" s="15"/>
      <c r="F862" s="11"/>
    </row>
    <row r="863" spans="4:6">
      <c r="D863" s="15"/>
      <c r="F863" s="11"/>
    </row>
    <row r="864" spans="4:6">
      <c r="D864" s="15"/>
      <c r="F864" s="11"/>
    </row>
    <row r="865" spans="4:6">
      <c r="D865" s="15"/>
      <c r="F865" s="11"/>
    </row>
    <row r="866" spans="4:6">
      <c r="D866" s="15"/>
      <c r="F866" s="11"/>
    </row>
    <row r="867" spans="4:6">
      <c r="D867" s="15"/>
      <c r="F867" s="11"/>
    </row>
    <row r="868" spans="4:6">
      <c r="D868" s="15"/>
      <c r="F868" s="11"/>
    </row>
    <row r="869" spans="4:6">
      <c r="D869" s="15"/>
      <c r="F869" s="11"/>
    </row>
    <row r="870" spans="4:6">
      <c r="D870" s="15"/>
      <c r="F870" s="11"/>
    </row>
    <row r="871" spans="4:6">
      <c r="D871" s="15"/>
      <c r="F871" s="11"/>
    </row>
    <row r="872" spans="4:6">
      <c r="D872" s="15"/>
      <c r="F872" s="11"/>
    </row>
    <row r="873" spans="4:6">
      <c r="D873" s="15"/>
      <c r="F873" s="11"/>
    </row>
    <row r="874" spans="4:6">
      <c r="D874" s="15"/>
      <c r="F874" s="11"/>
    </row>
    <row r="875" spans="4:6">
      <c r="D875" s="15"/>
      <c r="F875" s="11"/>
    </row>
    <row r="876" spans="4:6">
      <c r="D876" s="15"/>
      <c r="F876" s="11"/>
    </row>
    <row r="877" spans="4:6">
      <c r="D877" s="15"/>
      <c r="F877" s="11"/>
    </row>
    <row r="878" spans="4:6">
      <c r="D878" s="15"/>
      <c r="F878" s="11"/>
    </row>
    <row r="879" spans="4:6">
      <c r="D879" s="15"/>
      <c r="F879" s="11"/>
    </row>
    <row r="880" spans="4:6">
      <c r="D880" s="15"/>
      <c r="F880" s="11"/>
    </row>
    <row r="881" spans="4:6">
      <c r="D881" s="15"/>
      <c r="F881" s="11"/>
    </row>
    <row r="882" spans="4:6">
      <c r="D882" s="15"/>
      <c r="F882" s="11"/>
    </row>
    <row r="883" spans="4:6">
      <c r="D883" s="15"/>
      <c r="F883" s="11"/>
    </row>
    <row r="884" spans="4:6">
      <c r="D884" s="15"/>
      <c r="F884" s="11"/>
    </row>
    <row r="885" spans="4:6">
      <c r="D885" s="15"/>
      <c r="F885" s="11"/>
    </row>
    <row r="886" spans="4:6">
      <c r="D886" s="15"/>
      <c r="F886" s="11"/>
    </row>
    <row r="887" spans="4:6">
      <c r="D887" s="15"/>
      <c r="F887" s="11"/>
    </row>
    <row r="888" spans="4:6">
      <c r="D888" s="15"/>
      <c r="F888" s="11"/>
    </row>
    <row r="889" spans="4:6">
      <c r="D889" s="15"/>
      <c r="F889" s="11"/>
    </row>
    <row r="890" spans="4:6">
      <c r="D890" s="15"/>
      <c r="F890" s="11"/>
    </row>
    <row r="891" spans="4:6">
      <c r="D891" s="15"/>
      <c r="F891" s="11"/>
    </row>
    <row r="892" spans="4:6">
      <c r="D892" s="15"/>
      <c r="F892" s="11"/>
    </row>
    <row r="893" spans="4:6">
      <c r="D893" s="15"/>
      <c r="F893" s="11"/>
    </row>
    <row r="894" spans="4:6">
      <c r="D894" s="15"/>
      <c r="F894" s="11"/>
    </row>
    <row r="895" spans="4:6">
      <c r="D895" s="15"/>
      <c r="F895" s="11"/>
    </row>
    <row r="896" spans="4:6">
      <c r="D896" s="15"/>
      <c r="F896" s="11"/>
    </row>
    <row r="897" spans="4:6">
      <c r="D897" s="15"/>
      <c r="F897" s="11"/>
    </row>
    <row r="898" spans="4:6">
      <c r="D898" s="15"/>
      <c r="F898" s="11"/>
    </row>
    <row r="899" spans="4:6">
      <c r="D899" s="15"/>
      <c r="F899" s="11"/>
    </row>
    <row r="900" spans="4:6">
      <c r="D900" s="15"/>
      <c r="F900" s="11"/>
    </row>
    <row r="901" spans="4:6">
      <c r="D901" s="15"/>
      <c r="F901" s="11"/>
    </row>
    <row r="902" spans="4:6">
      <c r="D902" s="15"/>
      <c r="F902" s="11"/>
    </row>
    <row r="903" spans="4:6">
      <c r="D903" s="15"/>
      <c r="F903" s="11"/>
    </row>
    <row r="904" spans="4:6">
      <c r="D904" s="15"/>
      <c r="F904" s="11"/>
    </row>
    <row r="905" spans="4:6">
      <c r="D905" s="15"/>
      <c r="F905" s="11"/>
    </row>
    <row r="906" spans="4:6">
      <c r="D906" s="15"/>
      <c r="F906" s="11"/>
    </row>
    <row r="907" spans="4:6">
      <c r="D907" s="15"/>
      <c r="F907" s="11"/>
    </row>
    <row r="908" spans="4:6">
      <c r="D908" s="15"/>
      <c r="F908" s="11"/>
    </row>
    <row r="909" spans="4:6">
      <c r="D909" s="15"/>
      <c r="F909" s="11"/>
    </row>
    <row r="910" spans="4:6">
      <c r="D910" s="15"/>
      <c r="F910" s="11"/>
    </row>
    <row r="911" spans="4:6">
      <c r="D911" s="15"/>
      <c r="F911" s="11"/>
    </row>
    <row r="912" spans="4:6">
      <c r="D912" s="15"/>
      <c r="F912" s="11"/>
    </row>
    <row r="913" spans="4:6">
      <c r="D913" s="15"/>
      <c r="F913" s="11"/>
    </row>
    <row r="914" spans="4:6">
      <c r="D914" s="15"/>
      <c r="F914" s="11"/>
    </row>
    <row r="915" spans="4:6">
      <c r="D915" s="15"/>
      <c r="F915" s="11"/>
    </row>
    <row r="916" spans="4:6">
      <c r="D916" s="15"/>
      <c r="F916" s="11"/>
    </row>
    <row r="917" spans="4:6">
      <c r="D917" s="15"/>
      <c r="F917" s="11"/>
    </row>
    <row r="918" spans="4:6">
      <c r="D918" s="15"/>
      <c r="F918" s="11"/>
    </row>
    <row r="919" spans="4:6">
      <c r="D919" s="15"/>
      <c r="F919" s="11"/>
    </row>
    <row r="920" spans="4:6">
      <c r="D920" s="15"/>
      <c r="F920" s="11"/>
    </row>
    <row r="921" spans="4:6">
      <c r="D921" s="15"/>
      <c r="F921" s="11"/>
    </row>
    <row r="922" spans="4:6">
      <c r="D922" s="15"/>
      <c r="F922" s="11"/>
    </row>
    <row r="923" spans="4:6">
      <c r="D923" s="15"/>
      <c r="F923" s="11"/>
    </row>
    <row r="924" spans="4:6">
      <c r="D924" s="15"/>
      <c r="F924" s="11"/>
    </row>
    <row r="925" spans="4:6">
      <c r="D925" s="15"/>
      <c r="F925" s="11"/>
    </row>
    <row r="926" spans="4:6">
      <c r="D926" s="15"/>
      <c r="F926" s="11"/>
    </row>
    <row r="927" spans="4:6">
      <c r="D927" s="15"/>
      <c r="F927" s="11"/>
    </row>
    <row r="928" spans="4:6">
      <c r="D928" s="15"/>
      <c r="F928" s="11"/>
    </row>
    <row r="929" spans="4:6">
      <c r="D929" s="15"/>
      <c r="F929" s="11"/>
    </row>
    <row r="930" spans="4:6">
      <c r="D930" s="15"/>
      <c r="F930" s="11"/>
    </row>
    <row r="931" spans="4:6">
      <c r="D931" s="15"/>
      <c r="F931" s="11"/>
    </row>
    <row r="932" spans="4:6">
      <c r="D932" s="15"/>
      <c r="F932" s="11"/>
    </row>
    <row r="933" spans="4:6">
      <c r="D933" s="15"/>
      <c r="F933" s="11"/>
    </row>
    <row r="934" spans="4:6">
      <c r="D934" s="15"/>
      <c r="F934" s="11"/>
    </row>
    <row r="935" spans="4:6">
      <c r="D935" s="15"/>
      <c r="F935" s="11"/>
    </row>
    <row r="936" spans="4:6">
      <c r="D936" s="15"/>
      <c r="F936" s="11"/>
    </row>
    <row r="937" spans="4:6">
      <c r="D937" s="15"/>
      <c r="F937" s="11"/>
    </row>
    <row r="938" spans="4:6">
      <c r="D938" s="15"/>
      <c r="F938" s="11"/>
    </row>
    <row r="939" spans="4:6">
      <c r="D939" s="15"/>
      <c r="F939" s="11"/>
    </row>
    <row r="940" spans="4:6">
      <c r="D940" s="15"/>
      <c r="F940" s="11"/>
    </row>
    <row r="941" spans="4:6">
      <c r="D941" s="15"/>
      <c r="F941" s="11"/>
    </row>
    <row r="942" spans="4:6">
      <c r="D942" s="15"/>
      <c r="F942" s="11"/>
    </row>
    <row r="943" spans="4:6">
      <c r="D943" s="15"/>
      <c r="F943" s="11"/>
    </row>
    <row r="944" spans="4:6">
      <c r="D944" s="15"/>
      <c r="F944" s="11"/>
    </row>
    <row r="945" spans="4:6">
      <c r="D945" s="15"/>
      <c r="F945" s="11"/>
    </row>
    <row r="946" spans="4:6">
      <c r="D946" s="15"/>
      <c r="F946" s="11"/>
    </row>
    <row r="947" spans="4:6">
      <c r="D947" s="15"/>
      <c r="F947" s="11"/>
    </row>
    <row r="948" spans="4:6">
      <c r="D948" s="15"/>
      <c r="F948" s="11"/>
    </row>
    <row r="949" spans="4:6">
      <c r="D949" s="15"/>
      <c r="F949" s="11"/>
    </row>
    <row r="950" spans="4:6">
      <c r="D950" s="15"/>
      <c r="F950" s="11"/>
    </row>
    <row r="951" spans="4:6">
      <c r="D951" s="15"/>
      <c r="F951" s="11"/>
    </row>
    <row r="952" spans="4:6">
      <c r="D952" s="15"/>
      <c r="F952" s="11"/>
    </row>
    <row r="953" spans="4:6">
      <c r="D953" s="15"/>
      <c r="F953" s="11"/>
    </row>
    <row r="954" spans="4:6">
      <c r="D954" s="15"/>
      <c r="F954" s="11"/>
    </row>
    <row r="955" spans="4:6">
      <c r="D955" s="15"/>
      <c r="F955" s="11"/>
    </row>
    <row r="956" spans="4:6">
      <c r="D956" s="15"/>
      <c r="F956" s="11"/>
    </row>
    <row r="957" spans="4:6">
      <c r="D957" s="15"/>
      <c r="F957" s="11"/>
    </row>
    <row r="958" spans="4:6">
      <c r="D958" s="15"/>
      <c r="F958" s="11"/>
    </row>
    <row r="959" spans="4:6">
      <c r="D959" s="15"/>
      <c r="F959" s="11"/>
    </row>
    <row r="960" spans="4:6">
      <c r="D960" s="15"/>
      <c r="F960" s="11"/>
    </row>
    <row r="961" spans="4:6">
      <c r="D961" s="15"/>
      <c r="F961" s="11"/>
    </row>
    <row r="962" spans="4:6">
      <c r="D962" s="15"/>
      <c r="F962" s="11"/>
    </row>
    <row r="963" spans="4:6">
      <c r="D963" s="15"/>
      <c r="F963" s="11"/>
    </row>
    <row r="964" spans="4:6">
      <c r="D964" s="15"/>
      <c r="F964" s="11"/>
    </row>
    <row r="965" spans="4:6">
      <c r="D965" s="15"/>
      <c r="F965" s="11"/>
    </row>
    <row r="966" spans="4:6">
      <c r="D966" s="15"/>
      <c r="F966" s="11"/>
    </row>
    <row r="967" spans="4:6">
      <c r="D967" s="15"/>
      <c r="F967" s="11"/>
    </row>
    <row r="968" spans="4:6">
      <c r="D968" s="15"/>
      <c r="F968" s="11"/>
    </row>
    <row r="969" spans="4:6">
      <c r="D969" s="15"/>
      <c r="F969" s="11"/>
    </row>
    <row r="970" spans="4:6">
      <c r="D970" s="15"/>
      <c r="F970" s="11"/>
    </row>
    <row r="971" spans="4:6">
      <c r="D971" s="15"/>
      <c r="F971" s="11"/>
    </row>
    <row r="972" spans="4:6">
      <c r="D972" s="15"/>
      <c r="F972" s="11"/>
    </row>
    <row r="973" spans="4:6">
      <c r="D973" s="15"/>
      <c r="F973" s="11"/>
    </row>
    <row r="974" spans="4:6">
      <c r="D974" s="15"/>
      <c r="F974" s="11"/>
    </row>
    <row r="975" spans="4:6">
      <c r="D975" s="15"/>
      <c r="F975" s="11"/>
    </row>
    <row r="976" spans="4:6">
      <c r="D976" s="15"/>
      <c r="F976" s="11"/>
    </row>
    <row r="977" spans="4:6">
      <c r="D977" s="15"/>
      <c r="F977" s="11"/>
    </row>
    <row r="978" spans="4:6">
      <c r="D978" s="15"/>
      <c r="F978" s="11"/>
    </row>
    <row r="979" spans="4:6">
      <c r="D979" s="15"/>
      <c r="F979" s="11"/>
    </row>
    <row r="980" spans="4:6">
      <c r="D980" s="15"/>
      <c r="F980" s="11"/>
    </row>
    <row r="981" spans="4:6">
      <c r="D981" s="15"/>
      <c r="F981" s="11"/>
    </row>
    <row r="982" spans="4:6">
      <c r="D982" s="15"/>
      <c r="F982" s="11"/>
    </row>
    <row r="983" spans="4:6">
      <c r="D983" s="15"/>
      <c r="F983" s="11"/>
    </row>
    <row r="984" spans="4:6">
      <c r="D984" s="15"/>
      <c r="F984" s="11"/>
    </row>
    <row r="985" spans="4:6">
      <c r="D985" s="15"/>
      <c r="F985" s="11"/>
    </row>
    <row r="986" spans="4:6">
      <c r="D986" s="15"/>
      <c r="F986" s="11"/>
    </row>
    <row r="987" spans="4:6">
      <c r="D987" s="15"/>
      <c r="F987" s="11"/>
    </row>
    <row r="988" spans="4:6">
      <c r="D988" s="15"/>
      <c r="F988" s="11"/>
    </row>
    <row r="989" spans="4:6">
      <c r="D989" s="15"/>
      <c r="F989" s="11"/>
    </row>
    <row r="990" spans="4:6">
      <c r="D990" s="15"/>
      <c r="F990" s="11"/>
    </row>
    <row r="991" spans="4:6">
      <c r="D991" s="15"/>
      <c r="F991" s="11"/>
    </row>
    <row r="992" spans="4:6">
      <c r="D992" s="15"/>
      <c r="F992" s="11"/>
    </row>
    <row r="993" spans="4:6">
      <c r="D993" s="15"/>
      <c r="F993" s="11"/>
    </row>
    <row r="994" spans="4:6">
      <c r="D994" s="15"/>
      <c r="F994" s="11"/>
    </row>
    <row r="995" spans="4:6">
      <c r="D995" s="15"/>
      <c r="F995" s="11"/>
    </row>
    <row r="996" spans="4:6">
      <c r="D996" s="15"/>
      <c r="F996" s="11"/>
    </row>
    <row r="997" spans="4:6">
      <c r="D997" s="15"/>
      <c r="F997" s="11"/>
    </row>
    <row r="998" spans="4:6">
      <c r="D998" s="15"/>
      <c r="F998" s="11"/>
    </row>
    <row r="999" spans="4:6">
      <c r="D999" s="15"/>
      <c r="F999" s="11"/>
    </row>
    <row r="1000" spans="4:6">
      <c r="D1000" s="15"/>
      <c r="F1000" s="1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/>
  </sheetViews>
  <sheetFormatPr defaultColWidth="14.42578125" defaultRowHeight="15.75" customHeight="1"/>
  <sheetData>
    <row r="1" spans="1:6">
      <c r="A1" s="4" t="s">
        <v>0</v>
      </c>
      <c r="B1" s="4" t="s">
        <v>13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>
        <v>0.39395833333333335</v>
      </c>
      <c r="B2" s="4" t="s">
        <v>14</v>
      </c>
      <c r="C2" s="4" t="s">
        <v>8</v>
      </c>
      <c r="D2" s="12">
        <v>2.6909999999999998</v>
      </c>
      <c r="E2" s="12">
        <v>4</v>
      </c>
      <c r="F2" s="13">
        <f t="shared" ref="F2:F24" si="0">IF(C2="Продажа",D2*E2,-D2*E2)</f>
        <v>-10.763999999999999</v>
      </c>
    </row>
    <row r="3" spans="1:6">
      <c r="A3" s="7">
        <v>0.38912037037037039</v>
      </c>
      <c r="B3" s="4" t="s">
        <v>14</v>
      </c>
      <c r="C3" s="4" t="s">
        <v>8</v>
      </c>
      <c r="D3" s="12">
        <v>2.6859999999999999</v>
      </c>
      <c r="E3" s="12">
        <v>2</v>
      </c>
      <c r="F3" s="13">
        <f t="shared" si="0"/>
        <v>-5.3719999999999999</v>
      </c>
    </row>
    <row r="4" spans="1:6">
      <c r="A4" s="7">
        <v>0.38783564814814814</v>
      </c>
      <c r="B4" s="4" t="s">
        <v>14</v>
      </c>
      <c r="C4" s="4" t="s">
        <v>8</v>
      </c>
      <c r="D4" s="12">
        <v>2.6850000000000001</v>
      </c>
      <c r="E4" s="12">
        <v>1</v>
      </c>
      <c r="F4" s="13">
        <f t="shared" si="0"/>
        <v>-2.6850000000000001</v>
      </c>
    </row>
    <row r="5" spans="1:6">
      <c r="A5" s="7">
        <v>0.38783564814814814</v>
      </c>
      <c r="B5" s="4" t="s">
        <v>14</v>
      </c>
      <c r="C5" s="4" t="s">
        <v>8</v>
      </c>
      <c r="D5" s="12">
        <v>2.6850000000000001</v>
      </c>
      <c r="E5" s="12">
        <v>2</v>
      </c>
      <c r="F5" s="13">
        <f t="shared" si="0"/>
        <v>-5.37</v>
      </c>
    </row>
    <row r="6" spans="1:6">
      <c r="A6" s="7">
        <v>0.38641203703703703</v>
      </c>
      <c r="B6" s="4" t="s">
        <v>14</v>
      </c>
      <c r="C6" s="4" t="s">
        <v>8</v>
      </c>
      <c r="D6" s="12">
        <v>2.6819999999999999</v>
      </c>
      <c r="E6" s="12">
        <v>2</v>
      </c>
      <c r="F6" s="13">
        <f t="shared" si="0"/>
        <v>-5.3639999999999999</v>
      </c>
    </row>
    <row r="7" spans="1:6">
      <c r="A7" s="7">
        <v>0.38445601851851852</v>
      </c>
      <c r="B7" s="4" t="s">
        <v>14</v>
      </c>
      <c r="C7" s="4" t="s">
        <v>8</v>
      </c>
      <c r="D7" s="12">
        <v>2.6859999999999999</v>
      </c>
      <c r="E7" s="12">
        <v>5</v>
      </c>
      <c r="F7" s="13">
        <f t="shared" si="0"/>
        <v>-13.43</v>
      </c>
    </row>
    <row r="8" spans="1:6">
      <c r="A8" s="7">
        <v>0.38245370370370368</v>
      </c>
      <c r="B8" s="4" t="s">
        <v>14</v>
      </c>
      <c r="C8" s="4" t="s">
        <v>7</v>
      </c>
      <c r="D8" s="12">
        <v>2.6859999999999999</v>
      </c>
      <c r="E8" s="12">
        <v>16</v>
      </c>
      <c r="F8" s="13">
        <f t="shared" si="0"/>
        <v>42.975999999999999</v>
      </c>
    </row>
    <row r="9" spans="1:6">
      <c r="A9" s="7">
        <v>0.38157407407407407</v>
      </c>
      <c r="B9" s="4" t="s">
        <v>14</v>
      </c>
      <c r="C9" s="4" t="s">
        <v>7</v>
      </c>
      <c r="D9" s="12">
        <v>2.6829999999999998</v>
      </c>
      <c r="E9" s="12">
        <v>1</v>
      </c>
      <c r="F9" s="13">
        <f t="shared" si="0"/>
        <v>2.6829999999999998</v>
      </c>
    </row>
    <row r="10" spans="1:6">
      <c r="A10" s="7">
        <v>0.35106481481481483</v>
      </c>
      <c r="B10" s="4" t="s">
        <v>14</v>
      </c>
      <c r="C10" s="4" t="s">
        <v>8</v>
      </c>
      <c r="D10" s="12">
        <v>2.6869999999999998</v>
      </c>
      <c r="E10" s="12">
        <v>1</v>
      </c>
      <c r="F10" s="13">
        <f t="shared" si="0"/>
        <v>-2.6869999999999998</v>
      </c>
    </row>
    <row r="11" spans="1:6">
      <c r="A11" s="7">
        <v>0.35091435185185182</v>
      </c>
      <c r="B11" s="4" t="s">
        <v>14</v>
      </c>
      <c r="C11" s="4" t="s">
        <v>8</v>
      </c>
      <c r="D11" s="12">
        <v>2.6880000000000002</v>
      </c>
      <c r="E11" s="12">
        <v>1</v>
      </c>
      <c r="F11" s="13">
        <f t="shared" si="0"/>
        <v>-2.6880000000000002</v>
      </c>
    </row>
    <row r="12" spans="1:6">
      <c r="A12" s="7">
        <v>0.35084490740740742</v>
      </c>
      <c r="B12" s="4" t="s">
        <v>14</v>
      </c>
      <c r="C12" s="4" t="s">
        <v>8</v>
      </c>
      <c r="D12" s="12">
        <v>2.6880000000000002</v>
      </c>
      <c r="E12" s="12">
        <v>1</v>
      </c>
      <c r="F12" s="13">
        <f t="shared" si="0"/>
        <v>-2.6880000000000002</v>
      </c>
    </row>
    <row r="13" spans="1:6">
      <c r="A13" s="7">
        <v>0.35072916666666665</v>
      </c>
      <c r="B13" s="4" t="s">
        <v>14</v>
      </c>
      <c r="C13" s="4" t="s">
        <v>8</v>
      </c>
      <c r="D13" s="12">
        <v>2.6890000000000001</v>
      </c>
      <c r="E13" s="12">
        <v>2</v>
      </c>
      <c r="F13" s="13">
        <f t="shared" si="0"/>
        <v>-5.3780000000000001</v>
      </c>
    </row>
    <row r="14" spans="1:6">
      <c r="A14" s="7">
        <v>0.34962962962962962</v>
      </c>
      <c r="B14" s="4" t="s">
        <v>14</v>
      </c>
      <c r="C14" s="4" t="s">
        <v>7</v>
      </c>
      <c r="D14" s="12">
        <v>2.6930000000000001</v>
      </c>
      <c r="E14" s="12">
        <v>4</v>
      </c>
      <c r="F14" s="13">
        <f t="shared" si="0"/>
        <v>10.772</v>
      </c>
    </row>
    <row r="15" spans="1:6">
      <c r="A15" s="7">
        <v>0.30258101851851854</v>
      </c>
      <c r="B15" s="4" t="s">
        <v>18</v>
      </c>
      <c r="C15" s="4" t="s">
        <v>8</v>
      </c>
      <c r="D15" s="12">
        <v>1719</v>
      </c>
      <c r="E15" s="12">
        <v>37</v>
      </c>
      <c r="F15" s="13">
        <f t="shared" si="0"/>
        <v>-63603</v>
      </c>
    </row>
    <row r="16" spans="1:6">
      <c r="A16" s="7">
        <v>0.30258101851851854</v>
      </c>
      <c r="B16" s="4" t="s">
        <v>18</v>
      </c>
      <c r="C16" s="4" t="s">
        <v>8</v>
      </c>
      <c r="D16" s="12">
        <v>1719</v>
      </c>
      <c r="E16" s="12">
        <v>29</v>
      </c>
      <c r="F16" s="13">
        <f t="shared" si="0"/>
        <v>-49851</v>
      </c>
    </row>
    <row r="17" spans="1:6">
      <c r="A17" s="7">
        <v>0.29674768518518518</v>
      </c>
      <c r="B17" s="4" t="s">
        <v>18</v>
      </c>
      <c r="C17" s="4" t="s">
        <v>8</v>
      </c>
      <c r="D17" s="12">
        <v>1718</v>
      </c>
      <c r="E17" s="12">
        <v>1</v>
      </c>
      <c r="F17" s="13">
        <f t="shared" si="0"/>
        <v>-1718</v>
      </c>
    </row>
    <row r="18" spans="1:6">
      <c r="A18" s="7">
        <v>0.29666666666666669</v>
      </c>
      <c r="B18" s="4" t="s">
        <v>18</v>
      </c>
      <c r="C18" s="4" t="s">
        <v>8</v>
      </c>
      <c r="D18" s="12">
        <v>1718</v>
      </c>
      <c r="E18" s="12">
        <v>1</v>
      </c>
      <c r="F18" s="13">
        <f t="shared" si="0"/>
        <v>-1718</v>
      </c>
    </row>
    <row r="19" spans="1:6">
      <c r="A19" s="7">
        <v>0.29666666666666669</v>
      </c>
      <c r="B19" s="4" t="s">
        <v>18</v>
      </c>
      <c r="C19" s="4" t="s">
        <v>8</v>
      </c>
      <c r="D19" s="12">
        <v>1718</v>
      </c>
      <c r="E19" s="12">
        <v>1</v>
      </c>
      <c r="F19" s="13">
        <f t="shared" si="0"/>
        <v>-1718</v>
      </c>
    </row>
    <row r="20" spans="1:6">
      <c r="A20" s="7">
        <v>0.29604166666666665</v>
      </c>
      <c r="B20" s="4" t="s">
        <v>18</v>
      </c>
      <c r="C20" s="4" t="s">
        <v>8</v>
      </c>
      <c r="D20" s="12">
        <v>1718.3</v>
      </c>
      <c r="E20" s="12">
        <v>1</v>
      </c>
      <c r="F20" s="13">
        <f t="shared" si="0"/>
        <v>-1718.3</v>
      </c>
    </row>
    <row r="21" spans="1:6">
      <c r="A21" s="7">
        <v>0.29604166666666665</v>
      </c>
      <c r="B21" s="4" t="s">
        <v>18</v>
      </c>
      <c r="C21" s="4" t="s">
        <v>8</v>
      </c>
      <c r="D21" s="12">
        <v>1718.3</v>
      </c>
      <c r="E21" s="12">
        <v>2</v>
      </c>
      <c r="F21" s="13">
        <f t="shared" si="0"/>
        <v>-3436.6</v>
      </c>
    </row>
    <row r="22" spans="1:6">
      <c r="A22" s="7">
        <v>0.29604166666666665</v>
      </c>
      <c r="B22" s="4" t="s">
        <v>18</v>
      </c>
      <c r="C22" s="4" t="s">
        <v>8</v>
      </c>
      <c r="D22" s="12">
        <v>1718.3</v>
      </c>
      <c r="E22" s="12">
        <v>1</v>
      </c>
      <c r="F22" s="13">
        <f t="shared" si="0"/>
        <v>-1718.3</v>
      </c>
    </row>
    <row r="23" spans="1:6">
      <c r="A23" s="7">
        <v>0.29604166666666665</v>
      </c>
      <c r="B23" s="4" t="s">
        <v>18</v>
      </c>
      <c r="C23" s="4" t="s">
        <v>8</v>
      </c>
      <c r="D23" s="12">
        <v>1718.3</v>
      </c>
      <c r="E23" s="12">
        <v>1</v>
      </c>
      <c r="F23" s="13">
        <f t="shared" si="0"/>
        <v>-1718.3</v>
      </c>
    </row>
    <row r="24" spans="1:6">
      <c r="A24" s="7">
        <v>0.29229166666666667</v>
      </c>
      <c r="B24" s="4" t="s">
        <v>18</v>
      </c>
      <c r="C24" s="4" t="s">
        <v>7</v>
      </c>
      <c r="D24" s="12">
        <v>1717.5</v>
      </c>
      <c r="E24" s="12">
        <v>174</v>
      </c>
      <c r="F24" s="13">
        <f t="shared" si="0"/>
        <v>298845</v>
      </c>
    </row>
    <row r="25" spans="1:6">
      <c r="D25" s="15"/>
      <c r="F25" s="3">
        <f>SUM(F2:F24)</f>
        <v>171645.505</v>
      </c>
    </row>
    <row r="26" spans="1:6">
      <c r="D26" s="15"/>
      <c r="F26" s="11"/>
    </row>
    <row r="27" spans="1:6">
      <c r="D27" s="15"/>
      <c r="F27" s="11"/>
    </row>
    <row r="28" spans="1:6">
      <c r="D28" s="15"/>
      <c r="F28" s="11"/>
    </row>
    <row r="29" spans="1:6">
      <c r="D29" s="15"/>
      <c r="F29" s="11"/>
    </row>
    <row r="30" spans="1:6">
      <c r="D30" s="15"/>
      <c r="F30" s="11"/>
    </row>
    <row r="31" spans="1:6">
      <c r="D31" s="15"/>
      <c r="F31" s="11"/>
    </row>
    <row r="32" spans="1:6">
      <c r="D32" s="15"/>
      <c r="F32" s="11"/>
    </row>
    <row r="33" spans="4:6">
      <c r="D33" s="15"/>
      <c r="F33" s="11"/>
    </row>
    <row r="34" spans="4:6">
      <c r="D34" s="15"/>
      <c r="F34" s="11"/>
    </row>
    <row r="35" spans="4:6">
      <c r="D35" s="15"/>
      <c r="F35" s="11"/>
    </row>
    <row r="36" spans="4:6">
      <c r="D36" s="15"/>
      <c r="F36" s="11"/>
    </row>
    <row r="37" spans="4:6">
      <c r="D37" s="15"/>
      <c r="F37" s="11"/>
    </row>
    <row r="38" spans="4:6">
      <c r="D38" s="15"/>
      <c r="F38" s="11"/>
    </row>
    <row r="39" spans="4:6">
      <c r="D39" s="15"/>
      <c r="F39" s="11"/>
    </row>
    <row r="40" spans="4:6">
      <c r="D40" s="15"/>
      <c r="F40" s="11"/>
    </row>
    <row r="41" spans="4:6">
      <c r="D41" s="15"/>
      <c r="F41" s="11"/>
    </row>
    <row r="42" spans="4:6">
      <c r="D42" s="15"/>
      <c r="F42" s="11"/>
    </row>
    <row r="43" spans="4:6">
      <c r="D43" s="15"/>
      <c r="F43" s="11"/>
    </row>
    <row r="44" spans="4:6">
      <c r="D44" s="15"/>
      <c r="F44" s="11"/>
    </row>
    <row r="45" spans="4:6">
      <c r="D45" s="15"/>
      <c r="F45" s="11"/>
    </row>
    <row r="46" spans="4:6">
      <c r="D46" s="15"/>
      <c r="F46" s="11"/>
    </row>
    <row r="47" spans="4:6">
      <c r="D47" s="15"/>
      <c r="F47" s="11"/>
    </row>
    <row r="48" spans="4:6">
      <c r="D48" s="15"/>
      <c r="F48" s="11"/>
    </row>
    <row r="49" spans="4:6">
      <c r="D49" s="15"/>
      <c r="F49" s="11"/>
    </row>
    <row r="50" spans="4:6">
      <c r="D50" s="15"/>
      <c r="F50" s="11"/>
    </row>
    <row r="51" spans="4:6">
      <c r="D51" s="15"/>
      <c r="F51" s="11"/>
    </row>
    <row r="52" spans="4:6">
      <c r="D52" s="15"/>
      <c r="F52" s="11"/>
    </row>
    <row r="53" spans="4:6">
      <c r="D53" s="15"/>
      <c r="F53" s="11"/>
    </row>
    <row r="54" spans="4:6">
      <c r="D54" s="15"/>
      <c r="F54" s="11"/>
    </row>
    <row r="55" spans="4:6">
      <c r="D55" s="15"/>
      <c r="F55" s="11"/>
    </row>
    <row r="56" spans="4:6">
      <c r="D56" s="15"/>
      <c r="F56" s="11"/>
    </row>
    <row r="57" spans="4:6">
      <c r="D57" s="15"/>
      <c r="F57" s="11"/>
    </row>
    <row r="58" spans="4:6">
      <c r="D58" s="15"/>
      <c r="F58" s="11"/>
    </row>
    <row r="59" spans="4:6">
      <c r="D59" s="15"/>
      <c r="F59" s="11"/>
    </row>
    <row r="60" spans="4:6">
      <c r="D60" s="15"/>
      <c r="F60" s="11"/>
    </row>
    <row r="61" spans="4:6">
      <c r="D61" s="15"/>
      <c r="F61" s="11"/>
    </row>
    <row r="62" spans="4:6">
      <c r="D62" s="15"/>
      <c r="F62" s="11"/>
    </row>
    <row r="63" spans="4:6">
      <c r="D63" s="15"/>
      <c r="F63" s="11"/>
    </row>
    <row r="64" spans="4:6">
      <c r="D64" s="15"/>
      <c r="F64" s="11"/>
    </row>
    <row r="65" spans="4:6">
      <c r="D65" s="15"/>
      <c r="F65" s="11"/>
    </row>
    <row r="66" spans="4:6">
      <c r="D66" s="15"/>
      <c r="F66" s="11"/>
    </row>
    <row r="67" spans="4:6">
      <c r="D67" s="15"/>
      <c r="F67" s="11"/>
    </row>
    <row r="68" spans="4:6">
      <c r="D68" s="15"/>
      <c r="F68" s="11"/>
    </row>
    <row r="69" spans="4:6">
      <c r="D69" s="15"/>
      <c r="F69" s="11"/>
    </row>
    <row r="70" spans="4:6">
      <c r="D70" s="15"/>
      <c r="F70" s="11"/>
    </row>
    <row r="71" spans="4:6">
      <c r="D71" s="15"/>
      <c r="F71" s="11"/>
    </row>
    <row r="72" spans="4:6">
      <c r="D72" s="15"/>
      <c r="F72" s="11"/>
    </row>
    <row r="73" spans="4:6">
      <c r="D73" s="15"/>
      <c r="F73" s="11"/>
    </row>
    <row r="74" spans="4:6">
      <c r="D74" s="15"/>
      <c r="F74" s="11"/>
    </row>
    <row r="75" spans="4:6">
      <c r="D75" s="15"/>
      <c r="F75" s="11"/>
    </row>
    <row r="76" spans="4:6">
      <c r="D76" s="15"/>
      <c r="F76" s="11"/>
    </row>
    <row r="77" spans="4:6">
      <c r="D77" s="15"/>
      <c r="F77" s="11"/>
    </row>
    <row r="78" spans="4:6">
      <c r="D78" s="15"/>
      <c r="F78" s="11"/>
    </row>
    <row r="79" spans="4:6">
      <c r="D79" s="15"/>
      <c r="F79" s="11"/>
    </row>
    <row r="80" spans="4:6">
      <c r="D80" s="15"/>
      <c r="F80" s="11"/>
    </row>
    <row r="81" spans="4:6">
      <c r="D81" s="15"/>
      <c r="F81" s="11"/>
    </row>
    <row r="82" spans="4:6">
      <c r="D82" s="15"/>
      <c r="F82" s="11"/>
    </row>
    <row r="83" spans="4:6">
      <c r="D83" s="15"/>
      <c r="F83" s="11"/>
    </row>
    <row r="84" spans="4:6">
      <c r="D84" s="15"/>
      <c r="F84" s="11"/>
    </row>
    <row r="85" spans="4:6">
      <c r="D85" s="15"/>
      <c r="F85" s="11"/>
    </row>
    <row r="86" spans="4:6">
      <c r="D86" s="15"/>
      <c r="F86" s="11"/>
    </row>
    <row r="87" spans="4:6">
      <c r="D87" s="15"/>
      <c r="F87" s="11"/>
    </row>
    <row r="88" spans="4:6">
      <c r="D88" s="15"/>
      <c r="F88" s="11"/>
    </row>
    <row r="89" spans="4:6">
      <c r="D89" s="15"/>
      <c r="F89" s="11"/>
    </row>
    <row r="90" spans="4:6">
      <c r="D90" s="15"/>
      <c r="F90" s="11"/>
    </row>
    <row r="91" spans="4:6">
      <c r="D91" s="15"/>
      <c r="F91" s="11"/>
    </row>
    <row r="92" spans="4:6">
      <c r="D92" s="15"/>
      <c r="F92" s="11"/>
    </row>
    <row r="93" spans="4:6">
      <c r="D93" s="15"/>
      <c r="F93" s="11"/>
    </row>
    <row r="94" spans="4:6">
      <c r="D94" s="15"/>
      <c r="F94" s="11"/>
    </row>
    <row r="95" spans="4:6">
      <c r="D95" s="15"/>
      <c r="F95" s="11"/>
    </row>
    <row r="96" spans="4:6">
      <c r="D96" s="15"/>
      <c r="F96" s="11"/>
    </row>
    <row r="97" spans="4:6">
      <c r="D97" s="15"/>
      <c r="F97" s="11"/>
    </row>
    <row r="98" spans="4:6">
      <c r="D98" s="15"/>
      <c r="F98" s="11"/>
    </row>
    <row r="99" spans="4:6">
      <c r="D99" s="15"/>
      <c r="F99" s="11"/>
    </row>
    <row r="100" spans="4:6">
      <c r="D100" s="15"/>
      <c r="F100" s="11"/>
    </row>
    <row r="101" spans="4:6">
      <c r="D101" s="15"/>
      <c r="F101" s="11"/>
    </row>
    <row r="102" spans="4:6">
      <c r="D102" s="15"/>
      <c r="F102" s="11"/>
    </row>
    <row r="103" spans="4:6">
      <c r="D103" s="15"/>
      <c r="F103" s="11"/>
    </row>
    <row r="104" spans="4:6">
      <c r="D104" s="15"/>
      <c r="F104" s="11"/>
    </row>
    <row r="105" spans="4:6">
      <c r="D105" s="15"/>
      <c r="F105" s="11"/>
    </row>
    <row r="106" spans="4:6">
      <c r="D106" s="15"/>
      <c r="F106" s="11"/>
    </row>
    <row r="107" spans="4:6">
      <c r="D107" s="15"/>
      <c r="F107" s="11"/>
    </row>
    <row r="108" spans="4:6">
      <c r="D108" s="15"/>
      <c r="F108" s="11"/>
    </row>
    <row r="109" spans="4:6">
      <c r="D109" s="15"/>
      <c r="F109" s="11"/>
    </row>
    <row r="110" spans="4:6">
      <c r="D110" s="15"/>
      <c r="F110" s="11"/>
    </row>
    <row r="111" spans="4:6">
      <c r="D111" s="15"/>
      <c r="F111" s="11"/>
    </row>
    <row r="112" spans="4:6">
      <c r="D112" s="15"/>
      <c r="F112" s="11"/>
    </row>
    <row r="113" spans="4:6">
      <c r="D113" s="15"/>
      <c r="F113" s="11"/>
    </row>
    <row r="114" spans="4:6">
      <c r="D114" s="15"/>
      <c r="F114" s="11"/>
    </row>
    <row r="115" spans="4:6">
      <c r="D115" s="15"/>
      <c r="F115" s="11"/>
    </row>
    <row r="116" spans="4:6">
      <c r="D116" s="15"/>
      <c r="F116" s="11"/>
    </row>
    <row r="117" spans="4:6">
      <c r="D117" s="15"/>
      <c r="F117" s="11"/>
    </row>
    <row r="118" spans="4:6">
      <c r="D118" s="15"/>
      <c r="F118" s="11"/>
    </row>
    <row r="119" spans="4:6">
      <c r="D119" s="15"/>
      <c r="F119" s="11"/>
    </row>
    <row r="120" spans="4:6">
      <c r="D120" s="15"/>
      <c r="F120" s="11"/>
    </row>
    <row r="121" spans="4:6">
      <c r="D121" s="15"/>
      <c r="F121" s="11"/>
    </row>
    <row r="122" spans="4:6">
      <c r="D122" s="15"/>
      <c r="F122" s="11"/>
    </row>
    <row r="123" spans="4:6">
      <c r="D123" s="15"/>
      <c r="F123" s="11"/>
    </row>
    <row r="124" spans="4:6">
      <c r="D124" s="15"/>
      <c r="F124" s="11"/>
    </row>
    <row r="125" spans="4:6">
      <c r="D125" s="15"/>
      <c r="F125" s="11"/>
    </row>
    <row r="126" spans="4:6">
      <c r="D126" s="15"/>
      <c r="F126" s="11"/>
    </row>
    <row r="127" spans="4:6">
      <c r="D127" s="15"/>
      <c r="F127" s="11"/>
    </row>
    <row r="128" spans="4:6">
      <c r="D128" s="15"/>
      <c r="F128" s="11"/>
    </row>
    <row r="129" spans="4:6">
      <c r="D129" s="15"/>
      <c r="F129" s="11"/>
    </row>
    <row r="130" spans="4:6">
      <c r="D130" s="15"/>
      <c r="F130" s="11"/>
    </row>
    <row r="131" spans="4:6">
      <c r="D131" s="15"/>
      <c r="F131" s="11"/>
    </row>
    <row r="132" spans="4:6">
      <c r="D132" s="15"/>
      <c r="F132" s="11"/>
    </row>
    <row r="133" spans="4:6">
      <c r="D133" s="15"/>
      <c r="F133" s="11"/>
    </row>
    <row r="134" spans="4:6">
      <c r="D134" s="15"/>
      <c r="F134" s="11"/>
    </row>
    <row r="135" spans="4:6">
      <c r="D135" s="15"/>
      <c r="F135" s="11"/>
    </row>
    <row r="136" spans="4:6">
      <c r="D136" s="15"/>
      <c r="F136" s="11"/>
    </row>
    <row r="137" spans="4:6">
      <c r="D137" s="15"/>
      <c r="F137" s="11"/>
    </row>
    <row r="138" spans="4:6">
      <c r="D138" s="15"/>
      <c r="F138" s="11"/>
    </row>
    <row r="139" spans="4:6">
      <c r="D139" s="15"/>
      <c r="F139" s="11"/>
    </row>
    <row r="140" spans="4:6">
      <c r="D140" s="15"/>
      <c r="F140" s="11"/>
    </row>
    <row r="141" spans="4:6">
      <c r="D141" s="15"/>
      <c r="F141" s="11"/>
    </row>
    <row r="142" spans="4:6">
      <c r="D142" s="15"/>
      <c r="F142" s="11"/>
    </row>
    <row r="143" spans="4:6">
      <c r="D143" s="15"/>
      <c r="F143" s="11"/>
    </row>
    <row r="144" spans="4:6">
      <c r="D144" s="15"/>
      <c r="F144" s="11"/>
    </row>
    <row r="145" spans="4:6">
      <c r="D145" s="15"/>
      <c r="F145" s="11"/>
    </row>
    <row r="146" spans="4:6">
      <c r="D146" s="15"/>
      <c r="F146" s="11"/>
    </row>
    <row r="147" spans="4:6">
      <c r="D147" s="15"/>
      <c r="F147" s="11"/>
    </row>
    <row r="148" spans="4:6">
      <c r="D148" s="15"/>
      <c r="F148" s="11"/>
    </row>
    <row r="149" spans="4:6">
      <c r="D149" s="15"/>
      <c r="F149" s="11"/>
    </row>
    <row r="150" spans="4:6">
      <c r="D150" s="15"/>
      <c r="F150" s="11"/>
    </row>
    <row r="151" spans="4:6">
      <c r="D151" s="15"/>
      <c r="F151" s="11"/>
    </row>
    <row r="152" spans="4:6">
      <c r="D152" s="15"/>
      <c r="F152" s="11"/>
    </row>
    <row r="153" spans="4:6">
      <c r="D153" s="15"/>
      <c r="F153" s="11"/>
    </row>
    <row r="154" spans="4:6">
      <c r="D154" s="15"/>
      <c r="F154" s="11"/>
    </row>
    <row r="155" spans="4:6">
      <c r="D155" s="15"/>
      <c r="F155" s="11"/>
    </row>
    <row r="156" spans="4:6">
      <c r="D156" s="15"/>
      <c r="F156" s="11"/>
    </row>
    <row r="157" spans="4:6">
      <c r="D157" s="15"/>
      <c r="F157" s="11"/>
    </row>
    <row r="158" spans="4:6">
      <c r="D158" s="15"/>
      <c r="F158" s="11"/>
    </row>
    <row r="159" spans="4:6">
      <c r="D159" s="15"/>
      <c r="F159" s="11"/>
    </row>
    <row r="160" spans="4:6">
      <c r="D160" s="15"/>
      <c r="F160" s="11"/>
    </row>
    <row r="161" spans="4:6">
      <c r="D161" s="15"/>
      <c r="F161" s="11"/>
    </row>
    <row r="162" spans="4:6">
      <c r="D162" s="15"/>
      <c r="F162" s="11"/>
    </row>
    <row r="163" spans="4:6">
      <c r="D163" s="15"/>
      <c r="F163" s="11"/>
    </row>
    <row r="164" spans="4:6">
      <c r="D164" s="15"/>
      <c r="F164" s="11"/>
    </row>
    <row r="165" spans="4:6">
      <c r="D165" s="15"/>
      <c r="F165" s="11"/>
    </row>
    <row r="166" spans="4:6">
      <c r="D166" s="15"/>
      <c r="F166" s="11"/>
    </row>
    <row r="167" spans="4:6">
      <c r="D167" s="15"/>
      <c r="F167" s="11"/>
    </row>
    <row r="168" spans="4:6">
      <c r="D168" s="15"/>
      <c r="F168" s="11"/>
    </row>
    <row r="169" spans="4:6">
      <c r="D169" s="15"/>
      <c r="F169" s="11"/>
    </row>
    <row r="170" spans="4:6">
      <c r="D170" s="15"/>
      <c r="F170" s="11"/>
    </row>
    <row r="171" spans="4:6">
      <c r="D171" s="15"/>
      <c r="F171" s="11"/>
    </row>
    <row r="172" spans="4:6">
      <c r="D172" s="15"/>
      <c r="F172" s="11"/>
    </row>
    <row r="173" spans="4:6">
      <c r="D173" s="15"/>
      <c r="F173" s="11"/>
    </row>
    <row r="174" spans="4:6">
      <c r="D174" s="15"/>
      <c r="F174" s="11"/>
    </row>
    <row r="175" spans="4:6">
      <c r="D175" s="15"/>
      <c r="F175" s="11"/>
    </row>
    <row r="176" spans="4:6">
      <c r="D176" s="15"/>
      <c r="F176" s="11"/>
    </row>
    <row r="177" spans="4:6">
      <c r="D177" s="15"/>
      <c r="F177" s="11"/>
    </row>
    <row r="178" spans="4:6">
      <c r="D178" s="15"/>
      <c r="F178" s="11"/>
    </row>
    <row r="179" spans="4:6">
      <c r="D179" s="15"/>
      <c r="F179" s="11"/>
    </row>
    <row r="180" spans="4:6">
      <c r="D180" s="15"/>
      <c r="F180" s="11"/>
    </row>
    <row r="181" spans="4:6">
      <c r="D181" s="15"/>
      <c r="F181" s="11"/>
    </row>
    <row r="182" spans="4:6">
      <c r="D182" s="15"/>
      <c r="F182" s="11"/>
    </row>
    <row r="183" spans="4:6">
      <c r="D183" s="15"/>
      <c r="F183" s="11"/>
    </row>
    <row r="184" spans="4:6">
      <c r="D184" s="15"/>
      <c r="F184" s="11"/>
    </row>
    <row r="185" spans="4:6">
      <c r="D185" s="15"/>
      <c r="F185" s="11"/>
    </row>
    <row r="186" spans="4:6">
      <c r="D186" s="15"/>
      <c r="F186" s="11"/>
    </row>
    <row r="187" spans="4:6">
      <c r="D187" s="15"/>
      <c r="F187" s="11"/>
    </row>
    <row r="188" spans="4:6">
      <c r="D188" s="15"/>
      <c r="F188" s="11"/>
    </row>
    <row r="189" spans="4:6">
      <c r="D189" s="15"/>
      <c r="F189" s="11"/>
    </row>
    <row r="190" spans="4:6">
      <c r="D190" s="15"/>
      <c r="F190" s="11"/>
    </row>
    <row r="191" spans="4:6">
      <c r="D191" s="15"/>
      <c r="F191" s="11"/>
    </row>
    <row r="192" spans="4:6">
      <c r="D192" s="15"/>
      <c r="F192" s="11"/>
    </row>
    <row r="193" spans="4:6">
      <c r="D193" s="15"/>
      <c r="F193" s="11"/>
    </row>
    <row r="194" spans="4:6">
      <c r="D194" s="15"/>
      <c r="F194" s="11"/>
    </row>
    <row r="195" spans="4:6">
      <c r="D195" s="15"/>
      <c r="F195" s="11"/>
    </row>
    <row r="196" spans="4:6">
      <c r="D196" s="15"/>
      <c r="F196" s="11"/>
    </row>
    <row r="197" spans="4:6">
      <c r="D197" s="15"/>
      <c r="F197" s="11"/>
    </row>
    <row r="198" spans="4:6">
      <c r="D198" s="15"/>
      <c r="F198" s="11"/>
    </row>
    <row r="199" spans="4:6">
      <c r="D199" s="15"/>
      <c r="F199" s="11"/>
    </row>
    <row r="200" spans="4:6">
      <c r="D200" s="15"/>
      <c r="F200" s="11"/>
    </row>
    <row r="201" spans="4:6">
      <c r="D201" s="15"/>
      <c r="F201" s="11"/>
    </row>
    <row r="202" spans="4:6">
      <c r="D202" s="15"/>
      <c r="F202" s="11"/>
    </row>
    <row r="203" spans="4:6">
      <c r="D203" s="15"/>
      <c r="F203" s="11"/>
    </row>
    <row r="204" spans="4:6">
      <c r="D204" s="15"/>
      <c r="F204" s="11"/>
    </row>
    <row r="205" spans="4:6">
      <c r="D205" s="15"/>
      <c r="F205" s="11"/>
    </row>
    <row r="206" spans="4:6">
      <c r="D206" s="15"/>
      <c r="F206" s="11"/>
    </row>
    <row r="207" spans="4:6">
      <c r="D207" s="15"/>
      <c r="F207" s="11"/>
    </row>
    <row r="208" spans="4:6">
      <c r="D208" s="15"/>
      <c r="F208" s="11"/>
    </row>
    <row r="209" spans="4:6">
      <c r="D209" s="15"/>
      <c r="F209" s="11"/>
    </row>
    <row r="210" spans="4:6">
      <c r="D210" s="15"/>
      <c r="F210" s="11"/>
    </row>
    <row r="211" spans="4:6">
      <c r="D211" s="15"/>
      <c r="F211" s="11"/>
    </row>
    <row r="212" spans="4:6">
      <c r="D212" s="15"/>
      <c r="F212" s="11"/>
    </row>
    <row r="213" spans="4:6">
      <c r="D213" s="15"/>
      <c r="F213" s="11"/>
    </row>
    <row r="214" spans="4:6">
      <c r="D214" s="15"/>
      <c r="F214" s="11"/>
    </row>
    <row r="215" spans="4:6">
      <c r="D215" s="15"/>
      <c r="F215" s="11"/>
    </row>
    <row r="216" spans="4:6">
      <c r="D216" s="15"/>
      <c r="F216" s="11"/>
    </row>
    <row r="217" spans="4:6">
      <c r="D217" s="15"/>
      <c r="F217" s="11"/>
    </row>
    <row r="218" spans="4:6">
      <c r="D218" s="15"/>
      <c r="F218" s="11"/>
    </row>
    <row r="219" spans="4:6">
      <c r="D219" s="15"/>
      <c r="F219" s="11"/>
    </row>
    <row r="220" spans="4:6">
      <c r="D220" s="15"/>
      <c r="F220" s="11"/>
    </row>
    <row r="221" spans="4:6">
      <c r="D221" s="15"/>
      <c r="F221" s="11"/>
    </row>
    <row r="222" spans="4:6">
      <c r="D222" s="15"/>
      <c r="F222" s="11"/>
    </row>
    <row r="223" spans="4:6">
      <c r="D223" s="15"/>
      <c r="F223" s="11"/>
    </row>
    <row r="224" spans="4:6">
      <c r="D224" s="15"/>
      <c r="F224" s="11"/>
    </row>
    <row r="225" spans="4:6">
      <c r="D225" s="15"/>
      <c r="F225" s="11"/>
    </row>
    <row r="226" spans="4:6">
      <c r="D226" s="15"/>
      <c r="F226" s="11"/>
    </row>
    <row r="227" spans="4:6">
      <c r="D227" s="15"/>
      <c r="F227" s="11"/>
    </row>
    <row r="228" spans="4:6">
      <c r="D228" s="15"/>
      <c r="F228" s="11"/>
    </row>
    <row r="229" spans="4:6">
      <c r="D229" s="15"/>
      <c r="F229" s="11"/>
    </row>
    <row r="230" spans="4:6">
      <c r="D230" s="15"/>
      <c r="F230" s="11"/>
    </row>
    <row r="231" spans="4:6">
      <c r="D231" s="15"/>
      <c r="F231" s="11"/>
    </row>
    <row r="232" spans="4:6">
      <c r="D232" s="15"/>
      <c r="F232" s="11"/>
    </row>
    <row r="233" spans="4:6">
      <c r="D233" s="15"/>
      <c r="F233" s="11"/>
    </row>
    <row r="234" spans="4:6">
      <c r="D234" s="15"/>
      <c r="F234" s="11"/>
    </row>
    <row r="235" spans="4:6">
      <c r="D235" s="15"/>
      <c r="F235" s="11"/>
    </row>
    <row r="236" spans="4:6">
      <c r="D236" s="15"/>
      <c r="F236" s="11"/>
    </row>
    <row r="237" spans="4:6">
      <c r="D237" s="15"/>
      <c r="F237" s="11"/>
    </row>
    <row r="238" spans="4:6">
      <c r="D238" s="15"/>
      <c r="F238" s="11"/>
    </row>
    <row r="239" spans="4:6">
      <c r="D239" s="15"/>
      <c r="F239" s="11"/>
    </row>
    <row r="240" spans="4:6">
      <c r="D240" s="15"/>
      <c r="F240" s="11"/>
    </row>
    <row r="241" spans="4:6">
      <c r="D241" s="15"/>
      <c r="F241" s="11"/>
    </row>
    <row r="242" spans="4:6">
      <c r="D242" s="15"/>
      <c r="F242" s="11"/>
    </row>
    <row r="243" spans="4:6">
      <c r="D243" s="15"/>
      <c r="F243" s="11"/>
    </row>
    <row r="244" spans="4:6">
      <c r="D244" s="15"/>
      <c r="F244" s="11"/>
    </row>
    <row r="245" spans="4:6">
      <c r="D245" s="15"/>
      <c r="F245" s="11"/>
    </row>
    <row r="246" spans="4:6">
      <c r="D246" s="15"/>
      <c r="F246" s="11"/>
    </row>
    <row r="247" spans="4:6">
      <c r="D247" s="15"/>
      <c r="F247" s="11"/>
    </row>
    <row r="248" spans="4:6">
      <c r="D248" s="15"/>
      <c r="F248" s="11"/>
    </row>
    <row r="249" spans="4:6">
      <c r="D249" s="15"/>
      <c r="F249" s="11"/>
    </row>
    <row r="250" spans="4:6">
      <c r="D250" s="15"/>
      <c r="F250" s="11"/>
    </row>
    <row r="251" spans="4:6">
      <c r="D251" s="15"/>
      <c r="F251" s="11"/>
    </row>
    <row r="252" spans="4:6">
      <c r="D252" s="15"/>
      <c r="F252" s="11"/>
    </row>
    <row r="253" spans="4:6">
      <c r="D253" s="15"/>
      <c r="F253" s="11"/>
    </row>
    <row r="254" spans="4:6">
      <c r="D254" s="15"/>
      <c r="F254" s="11"/>
    </row>
    <row r="255" spans="4:6">
      <c r="D255" s="15"/>
      <c r="F255" s="11"/>
    </row>
    <row r="256" spans="4:6">
      <c r="D256" s="15"/>
      <c r="F256" s="11"/>
    </row>
    <row r="257" spans="4:6">
      <c r="D257" s="15"/>
      <c r="F257" s="11"/>
    </row>
    <row r="258" spans="4:6">
      <c r="D258" s="15"/>
      <c r="F258" s="11"/>
    </row>
    <row r="259" spans="4:6">
      <c r="D259" s="15"/>
      <c r="F259" s="11"/>
    </row>
    <row r="260" spans="4:6">
      <c r="D260" s="15"/>
      <c r="F260" s="11"/>
    </row>
    <row r="261" spans="4:6">
      <c r="D261" s="15"/>
      <c r="F261" s="11"/>
    </row>
    <row r="262" spans="4:6">
      <c r="D262" s="15"/>
      <c r="F262" s="11"/>
    </row>
    <row r="263" spans="4:6">
      <c r="D263" s="15"/>
      <c r="F263" s="11"/>
    </row>
    <row r="264" spans="4:6">
      <c r="D264" s="15"/>
      <c r="F264" s="11"/>
    </row>
    <row r="265" spans="4:6">
      <c r="D265" s="15"/>
      <c r="F265" s="11"/>
    </row>
    <row r="266" spans="4:6">
      <c r="D266" s="15"/>
      <c r="F266" s="11"/>
    </row>
    <row r="267" spans="4:6">
      <c r="D267" s="15"/>
      <c r="F267" s="11"/>
    </row>
    <row r="268" spans="4:6">
      <c r="D268" s="15"/>
      <c r="F268" s="11"/>
    </row>
    <row r="269" spans="4:6">
      <c r="D269" s="15"/>
      <c r="F269" s="11"/>
    </row>
    <row r="270" spans="4:6">
      <c r="D270" s="15"/>
      <c r="F270" s="11"/>
    </row>
    <row r="271" spans="4:6">
      <c r="D271" s="15"/>
      <c r="F271" s="11"/>
    </row>
    <row r="272" spans="4:6">
      <c r="D272" s="15"/>
      <c r="F272" s="11"/>
    </row>
    <row r="273" spans="4:6">
      <c r="D273" s="15"/>
      <c r="F273" s="11"/>
    </row>
    <row r="274" spans="4:6">
      <c r="D274" s="15"/>
      <c r="F274" s="11"/>
    </row>
    <row r="275" spans="4:6">
      <c r="D275" s="15"/>
      <c r="F275" s="11"/>
    </row>
    <row r="276" spans="4:6">
      <c r="D276" s="15"/>
      <c r="F276" s="11"/>
    </row>
    <row r="277" spans="4:6">
      <c r="D277" s="15"/>
      <c r="F277" s="11"/>
    </row>
    <row r="278" spans="4:6">
      <c r="D278" s="15"/>
      <c r="F278" s="11"/>
    </row>
    <row r="279" spans="4:6">
      <c r="D279" s="15"/>
      <c r="F279" s="11"/>
    </row>
    <row r="280" spans="4:6">
      <c r="D280" s="15"/>
      <c r="F280" s="11"/>
    </row>
    <row r="281" spans="4:6">
      <c r="D281" s="15"/>
      <c r="F281" s="11"/>
    </row>
    <row r="282" spans="4:6">
      <c r="D282" s="15"/>
      <c r="F282" s="11"/>
    </row>
    <row r="283" spans="4:6">
      <c r="D283" s="15"/>
      <c r="F283" s="11"/>
    </row>
    <row r="284" spans="4:6">
      <c r="D284" s="15"/>
      <c r="F284" s="11"/>
    </row>
    <row r="285" spans="4:6">
      <c r="D285" s="15"/>
      <c r="F285" s="11"/>
    </row>
    <row r="286" spans="4:6">
      <c r="D286" s="15"/>
      <c r="F286" s="11"/>
    </row>
    <row r="287" spans="4:6">
      <c r="D287" s="15"/>
      <c r="F287" s="11"/>
    </row>
    <row r="288" spans="4:6">
      <c r="D288" s="15"/>
      <c r="F288" s="11"/>
    </row>
    <row r="289" spans="4:6">
      <c r="D289" s="15"/>
      <c r="F289" s="11"/>
    </row>
    <row r="290" spans="4:6">
      <c r="D290" s="15"/>
      <c r="F290" s="11"/>
    </row>
    <row r="291" spans="4:6">
      <c r="D291" s="15"/>
      <c r="F291" s="11"/>
    </row>
    <row r="292" spans="4:6">
      <c r="D292" s="15"/>
      <c r="F292" s="11"/>
    </row>
    <row r="293" spans="4:6">
      <c r="D293" s="15"/>
      <c r="F293" s="11"/>
    </row>
    <row r="294" spans="4:6">
      <c r="D294" s="15"/>
      <c r="F294" s="11"/>
    </row>
    <row r="295" spans="4:6">
      <c r="D295" s="15"/>
      <c r="F295" s="11"/>
    </row>
    <row r="296" spans="4:6">
      <c r="D296" s="15"/>
      <c r="F296" s="11"/>
    </row>
    <row r="297" spans="4:6">
      <c r="D297" s="15"/>
      <c r="F297" s="11"/>
    </row>
    <row r="298" spans="4:6">
      <c r="D298" s="15"/>
      <c r="F298" s="11"/>
    </row>
    <row r="299" spans="4:6">
      <c r="D299" s="15"/>
      <c r="F299" s="11"/>
    </row>
    <row r="300" spans="4:6">
      <c r="D300" s="15"/>
      <c r="F300" s="11"/>
    </row>
    <row r="301" spans="4:6">
      <c r="D301" s="15"/>
      <c r="F301" s="11"/>
    </row>
    <row r="302" spans="4:6">
      <c r="D302" s="15"/>
      <c r="F302" s="11"/>
    </row>
    <row r="303" spans="4:6">
      <c r="D303" s="15"/>
      <c r="F303" s="11"/>
    </row>
    <row r="304" spans="4:6">
      <c r="D304" s="15"/>
      <c r="F304" s="11"/>
    </row>
    <row r="305" spans="4:6">
      <c r="D305" s="15"/>
      <c r="F305" s="11"/>
    </row>
    <row r="306" spans="4:6">
      <c r="D306" s="15"/>
      <c r="F306" s="11"/>
    </row>
    <row r="307" spans="4:6">
      <c r="D307" s="15"/>
      <c r="F307" s="11"/>
    </row>
    <row r="308" spans="4:6">
      <c r="D308" s="15"/>
      <c r="F308" s="11"/>
    </row>
    <row r="309" spans="4:6">
      <c r="D309" s="15"/>
      <c r="F309" s="11"/>
    </row>
    <row r="310" spans="4:6">
      <c r="D310" s="15"/>
      <c r="F310" s="11"/>
    </row>
    <row r="311" spans="4:6">
      <c r="D311" s="15"/>
      <c r="F311" s="11"/>
    </row>
    <row r="312" spans="4:6">
      <c r="D312" s="15"/>
      <c r="F312" s="11"/>
    </row>
    <row r="313" spans="4:6">
      <c r="D313" s="15"/>
      <c r="F313" s="11"/>
    </row>
    <row r="314" spans="4:6">
      <c r="D314" s="15"/>
      <c r="F314" s="11"/>
    </row>
    <row r="315" spans="4:6">
      <c r="D315" s="15"/>
      <c r="F315" s="11"/>
    </row>
    <row r="316" spans="4:6">
      <c r="D316" s="15"/>
      <c r="F316" s="11"/>
    </row>
    <row r="317" spans="4:6">
      <c r="D317" s="15"/>
      <c r="F317" s="11"/>
    </row>
    <row r="318" spans="4:6">
      <c r="D318" s="15"/>
      <c r="F318" s="11"/>
    </row>
    <row r="319" spans="4:6">
      <c r="D319" s="15"/>
      <c r="F319" s="11"/>
    </row>
    <row r="320" spans="4:6">
      <c r="D320" s="15"/>
      <c r="F320" s="11"/>
    </row>
    <row r="321" spans="4:6">
      <c r="D321" s="15"/>
      <c r="F321" s="11"/>
    </row>
    <row r="322" spans="4:6">
      <c r="D322" s="15"/>
      <c r="F322" s="11"/>
    </row>
    <row r="323" spans="4:6">
      <c r="D323" s="15"/>
      <c r="F323" s="11"/>
    </row>
    <row r="324" spans="4:6">
      <c r="D324" s="15"/>
      <c r="F324" s="11"/>
    </row>
    <row r="325" spans="4:6">
      <c r="D325" s="15"/>
      <c r="F325" s="11"/>
    </row>
    <row r="326" spans="4:6">
      <c r="D326" s="15"/>
      <c r="F326" s="11"/>
    </row>
    <row r="327" spans="4:6">
      <c r="D327" s="15"/>
      <c r="F327" s="11"/>
    </row>
    <row r="328" spans="4:6">
      <c r="D328" s="15"/>
      <c r="F328" s="11"/>
    </row>
    <row r="329" spans="4:6">
      <c r="D329" s="15"/>
      <c r="F329" s="11"/>
    </row>
    <row r="330" spans="4:6">
      <c r="D330" s="15"/>
      <c r="F330" s="11"/>
    </row>
    <row r="331" spans="4:6">
      <c r="D331" s="15"/>
      <c r="F331" s="11"/>
    </row>
    <row r="332" spans="4:6">
      <c r="D332" s="15"/>
      <c r="F332" s="11"/>
    </row>
    <row r="333" spans="4:6">
      <c r="D333" s="15"/>
      <c r="F333" s="11"/>
    </row>
    <row r="334" spans="4:6">
      <c r="D334" s="15"/>
      <c r="F334" s="11"/>
    </row>
    <row r="335" spans="4:6">
      <c r="D335" s="15"/>
      <c r="F335" s="11"/>
    </row>
    <row r="336" spans="4:6">
      <c r="D336" s="15"/>
      <c r="F336" s="11"/>
    </row>
    <row r="337" spans="4:6">
      <c r="D337" s="15"/>
      <c r="F337" s="11"/>
    </row>
    <row r="338" spans="4:6">
      <c r="D338" s="15"/>
      <c r="F338" s="11"/>
    </row>
    <row r="339" spans="4:6">
      <c r="D339" s="15"/>
      <c r="F339" s="11"/>
    </row>
    <row r="340" spans="4:6">
      <c r="D340" s="15"/>
      <c r="F340" s="11"/>
    </row>
    <row r="341" spans="4:6">
      <c r="D341" s="15"/>
      <c r="F341" s="11"/>
    </row>
    <row r="342" spans="4:6">
      <c r="D342" s="15"/>
      <c r="F342" s="11"/>
    </row>
    <row r="343" spans="4:6">
      <c r="D343" s="15"/>
      <c r="F343" s="11"/>
    </row>
    <row r="344" spans="4:6">
      <c r="D344" s="15"/>
      <c r="F344" s="11"/>
    </row>
    <row r="345" spans="4:6">
      <c r="D345" s="15"/>
      <c r="F345" s="11"/>
    </row>
    <row r="346" spans="4:6">
      <c r="D346" s="15"/>
      <c r="F346" s="11"/>
    </row>
    <row r="347" spans="4:6">
      <c r="D347" s="15"/>
      <c r="F347" s="11"/>
    </row>
    <row r="348" spans="4:6">
      <c r="D348" s="15"/>
      <c r="F348" s="11"/>
    </row>
    <row r="349" spans="4:6">
      <c r="D349" s="15"/>
      <c r="F349" s="11"/>
    </row>
    <row r="350" spans="4:6">
      <c r="D350" s="15"/>
      <c r="F350" s="11"/>
    </row>
    <row r="351" spans="4:6">
      <c r="D351" s="15"/>
      <c r="F351" s="11"/>
    </row>
    <row r="352" spans="4:6">
      <c r="D352" s="15"/>
      <c r="F352" s="11"/>
    </row>
    <row r="353" spans="4:6">
      <c r="D353" s="15"/>
      <c r="F353" s="11"/>
    </row>
    <row r="354" spans="4:6">
      <c r="D354" s="15"/>
      <c r="F354" s="11"/>
    </row>
    <row r="355" spans="4:6">
      <c r="D355" s="15"/>
      <c r="F355" s="11"/>
    </row>
    <row r="356" spans="4:6">
      <c r="D356" s="15"/>
      <c r="F356" s="11"/>
    </row>
    <row r="357" spans="4:6">
      <c r="D357" s="15"/>
      <c r="F357" s="11"/>
    </row>
    <row r="358" spans="4:6">
      <c r="D358" s="15"/>
      <c r="F358" s="11"/>
    </row>
    <row r="359" spans="4:6">
      <c r="D359" s="15"/>
      <c r="F359" s="11"/>
    </row>
    <row r="360" spans="4:6">
      <c r="D360" s="15"/>
      <c r="F360" s="11"/>
    </row>
    <row r="361" spans="4:6">
      <c r="D361" s="15"/>
      <c r="F361" s="11"/>
    </row>
    <row r="362" spans="4:6">
      <c r="D362" s="15"/>
      <c r="F362" s="11"/>
    </row>
    <row r="363" spans="4:6">
      <c r="D363" s="15"/>
      <c r="F363" s="11"/>
    </row>
    <row r="364" spans="4:6">
      <c r="D364" s="15"/>
      <c r="F364" s="11"/>
    </row>
    <row r="365" spans="4:6">
      <c r="D365" s="15"/>
      <c r="F365" s="11"/>
    </row>
    <row r="366" spans="4:6">
      <c r="D366" s="15"/>
      <c r="F366" s="11"/>
    </row>
    <row r="367" spans="4:6">
      <c r="D367" s="15"/>
      <c r="F367" s="11"/>
    </row>
    <row r="368" spans="4:6">
      <c r="D368" s="15"/>
      <c r="F368" s="11"/>
    </row>
    <row r="369" spans="4:6">
      <c r="D369" s="15"/>
      <c r="F369" s="11"/>
    </row>
    <row r="370" spans="4:6">
      <c r="D370" s="15"/>
      <c r="F370" s="11"/>
    </row>
    <row r="371" spans="4:6">
      <c r="D371" s="15"/>
      <c r="F371" s="11"/>
    </row>
    <row r="372" spans="4:6">
      <c r="D372" s="15"/>
      <c r="F372" s="11"/>
    </row>
    <row r="373" spans="4:6">
      <c r="D373" s="15"/>
      <c r="F373" s="11"/>
    </row>
    <row r="374" spans="4:6">
      <c r="D374" s="15"/>
      <c r="F374" s="11"/>
    </row>
    <row r="375" spans="4:6">
      <c r="D375" s="15"/>
      <c r="F375" s="11"/>
    </row>
    <row r="376" spans="4:6">
      <c r="D376" s="15"/>
      <c r="F376" s="11"/>
    </row>
    <row r="377" spans="4:6">
      <c r="D377" s="15"/>
      <c r="F377" s="11"/>
    </row>
    <row r="378" spans="4:6">
      <c r="D378" s="15"/>
      <c r="F378" s="11"/>
    </row>
    <row r="379" spans="4:6">
      <c r="D379" s="15"/>
      <c r="F379" s="11"/>
    </row>
    <row r="380" spans="4:6">
      <c r="D380" s="15"/>
      <c r="F380" s="11"/>
    </row>
    <row r="381" spans="4:6">
      <c r="D381" s="15"/>
      <c r="F381" s="11"/>
    </row>
    <row r="382" spans="4:6">
      <c r="D382" s="15"/>
      <c r="F382" s="11"/>
    </row>
    <row r="383" spans="4:6">
      <c r="D383" s="15"/>
      <c r="F383" s="11"/>
    </row>
    <row r="384" spans="4:6">
      <c r="D384" s="15"/>
      <c r="F384" s="11"/>
    </row>
    <row r="385" spans="4:6">
      <c r="D385" s="15"/>
      <c r="F385" s="11"/>
    </row>
    <row r="386" spans="4:6">
      <c r="D386" s="15"/>
      <c r="F386" s="11"/>
    </row>
    <row r="387" spans="4:6">
      <c r="D387" s="15"/>
      <c r="F387" s="11"/>
    </row>
    <row r="388" spans="4:6">
      <c r="D388" s="15"/>
      <c r="F388" s="11"/>
    </row>
    <row r="389" spans="4:6">
      <c r="D389" s="15"/>
      <c r="F389" s="11"/>
    </row>
    <row r="390" spans="4:6">
      <c r="D390" s="15"/>
      <c r="F390" s="11"/>
    </row>
    <row r="391" spans="4:6">
      <c r="D391" s="15"/>
      <c r="F391" s="11"/>
    </row>
    <row r="392" spans="4:6">
      <c r="D392" s="15"/>
      <c r="F392" s="11"/>
    </row>
    <row r="393" spans="4:6">
      <c r="D393" s="15"/>
      <c r="F393" s="11"/>
    </row>
    <row r="394" spans="4:6">
      <c r="D394" s="15"/>
      <c r="F394" s="11"/>
    </row>
    <row r="395" spans="4:6">
      <c r="D395" s="15"/>
      <c r="F395" s="11"/>
    </row>
    <row r="396" spans="4:6">
      <c r="D396" s="15"/>
      <c r="F396" s="11"/>
    </row>
    <row r="397" spans="4:6">
      <c r="D397" s="15"/>
      <c r="F397" s="11"/>
    </row>
    <row r="398" spans="4:6">
      <c r="D398" s="15"/>
      <c r="F398" s="11"/>
    </row>
    <row r="399" spans="4:6">
      <c r="D399" s="15"/>
      <c r="F399" s="11"/>
    </row>
    <row r="400" spans="4:6">
      <c r="D400" s="15"/>
      <c r="F400" s="11"/>
    </row>
    <row r="401" spans="4:6">
      <c r="D401" s="15"/>
      <c r="F401" s="11"/>
    </row>
    <row r="402" spans="4:6">
      <c r="D402" s="15"/>
      <c r="F402" s="11"/>
    </row>
    <row r="403" spans="4:6">
      <c r="D403" s="15"/>
      <c r="F403" s="11"/>
    </row>
    <row r="404" spans="4:6">
      <c r="D404" s="15"/>
      <c r="F404" s="11"/>
    </row>
    <row r="405" spans="4:6">
      <c r="D405" s="15"/>
      <c r="F405" s="11"/>
    </row>
    <row r="406" spans="4:6">
      <c r="D406" s="15"/>
      <c r="F406" s="11"/>
    </row>
    <row r="407" spans="4:6">
      <c r="D407" s="15"/>
      <c r="F407" s="11"/>
    </row>
    <row r="408" spans="4:6">
      <c r="D408" s="15"/>
      <c r="F408" s="11"/>
    </row>
    <row r="409" spans="4:6">
      <c r="D409" s="15"/>
      <c r="F409" s="11"/>
    </row>
    <row r="410" spans="4:6">
      <c r="D410" s="15"/>
      <c r="F410" s="11"/>
    </row>
    <row r="411" spans="4:6">
      <c r="D411" s="15"/>
      <c r="F411" s="11"/>
    </row>
    <row r="412" spans="4:6">
      <c r="D412" s="15"/>
      <c r="F412" s="11"/>
    </row>
    <row r="413" spans="4:6">
      <c r="D413" s="15"/>
      <c r="F413" s="11"/>
    </row>
    <row r="414" spans="4:6">
      <c r="D414" s="15"/>
      <c r="F414" s="11"/>
    </row>
    <row r="415" spans="4:6">
      <c r="D415" s="15"/>
      <c r="F415" s="11"/>
    </row>
    <row r="416" spans="4:6">
      <c r="D416" s="15"/>
      <c r="F416" s="11"/>
    </row>
    <row r="417" spans="4:6">
      <c r="D417" s="15"/>
      <c r="F417" s="11"/>
    </row>
    <row r="418" spans="4:6">
      <c r="D418" s="15"/>
      <c r="F418" s="11"/>
    </row>
    <row r="419" spans="4:6">
      <c r="D419" s="15"/>
      <c r="F419" s="11"/>
    </row>
    <row r="420" spans="4:6">
      <c r="D420" s="15"/>
      <c r="F420" s="11"/>
    </row>
    <row r="421" spans="4:6">
      <c r="D421" s="15"/>
      <c r="F421" s="11"/>
    </row>
    <row r="422" spans="4:6">
      <c r="D422" s="15"/>
      <c r="F422" s="11"/>
    </row>
    <row r="423" spans="4:6">
      <c r="D423" s="15"/>
      <c r="F423" s="11"/>
    </row>
    <row r="424" spans="4:6">
      <c r="D424" s="15"/>
      <c r="F424" s="11"/>
    </row>
    <row r="425" spans="4:6">
      <c r="D425" s="15"/>
      <c r="F425" s="11"/>
    </row>
    <row r="426" spans="4:6">
      <c r="D426" s="15"/>
      <c r="F426" s="11"/>
    </row>
    <row r="427" spans="4:6">
      <c r="D427" s="15"/>
      <c r="F427" s="11"/>
    </row>
    <row r="428" spans="4:6">
      <c r="D428" s="15"/>
      <c r="F428" s="11"/>
    </row>
    <row r="429" spans="4:6">
      <c r="D429" s="15"/>
      <c r="F429" s="11"/>
    </row>
    <row r="430" spans="4:6">
      <c r="D430" s="15"/>
      <c r="F430" s="11"/>
    </row>
    <row r="431" spans="4:6">
      <c r="D431" s="15"/>
      <c r="F431" s="11"/>
    </row>
    <row r="432" spans="4:6">
      <c r="D432" s="15"/>
      <c r="F432" s="11"/>
    </row>
    <row r="433" spans="4:6">
      <c r="D433" s="15"/>
      <c r="F433" s="11"/>
    </row>
    <row r="434" spans="4:6">
      <c r="D434" s="15"/>
      <c r="F434" s="11"/>
    </row>
    <row r="435" spans="4:6">
      <c r="D435" s="15"/>
      <c r="F435" s="11"/>
    </row>
    <row r="436" spans="4:6">
      <c r="D436" s="15"/>
      <c r="F436" s="11"/>
    </row>
    <row r="437" spans="4:6">
      <c r="D437" s="15"/>
      <c r="F437" s="11"/>
    </row>
    <row r="438" spans="4:6">
      <c r="D438" s="15"/>
      <c r="F438" s="11"/>
    </row>
    <row r="439" spans="4:6">
      <c r="D439" s="15"/>
      <c r="F439" s="11"/>
    </row>
    <row r="440" spans="4:6">
      <c r="D440" s="15"/>
      <c r="F440" s="11"/>
    </row>
    <row r="441" spans="4:6">
      <c r="D441" s="15"/>
      <c r="F441" s="11"/>
    </row>
    <row r="442" spans="4:6">
      <c r="D442" s="15"/>
      <c r="F442" s="11"/>
    </row>
    <row r="443" spans="4:6">
      <c r="D443" s="15"/>
      <c r="F443" s="11"/>
    </row>
    <row r="444" spans="4:6">
      <c r="D444" s="15"/>
      <c r="F444" s="11"/>
    </row>
    <row r="445" spans="4:6">
      <c r="D445" s="15"/>
      <c r="F445" s="11"/>
    </row>
    <row r="446" spans="4:6">
      <c r="D446" s="15"/>
      <c r="F446" s="11"/>
    </row>
    <row r="447" spans="4:6">
      <c r="D447" s="15"/>
      <c r="F447" s="11"/>
    </row>
    <row r="448" spans="4:6">
      <c r="D448" s="15"/>
      <c r="F448" s="11"/>
    </row>
    <row r="449" spans="4:6">
      <c r="D449" s="15"/>
      <c r="F449" s="11"/>
    </row>
    <row r="450" spans="4:6">
      <c r="D450" s="15"/>
      <c r="F450" s="11"/>
    </row>
    <row r="451" spans="4:6">
      <c r="D451" s="15"/>
      <c r="F451" s="11"/>
    </row>
    <row r="452" spans="4:6">
      <c r="D452" s="15"/>
      <c r="F452" s="11"/>
    </row>
    <row r="453" spans="4:6">
      <c r="D453" s="15"/>
      <c r="F453" s="11"/>
    </row>
    <row r="454" spans="4:6">
      <c r="D454" s="15"/>
      <c r="F454" s="11"/>
    </row>
    <row r="455" spans="4:6">
      <c r="D455" s="15"/>
      <c r="F455" s="11"/>
    </row>
    <row r="456" spans="4:6">
      <c r="D456" s="15"/>
      <c r="F456" s="11"/>
    </row>
    <row r="457" spans="4:6">
      <c r="D457" s="15"/>
      <c r="F457" s="11"/>
    </row>
    <row r="458" spans="4:6">
      <c r="D458" s="15"/>
      <c r="F458" s="11"/>
    </row>
    <row r="459" spans="4:6">
      <c r="D459" s="15"/>
      <c r="F459" s="11"/>
    </row>
    <row r="460" spans="4:6">
      <c r="D460" s="15"/>
      <c r="F460" s="11"/>
    </row>
    <row r="461" spans="4:6">
      <c r="D461" s="15"/>
      <c r="F461" s="11"/>
    </row>
    <row r="462" spans="4:6">
      <c r="D462" s="15"/>
      <c r="F462" s="11"/>
    </row>
    <row r="463" spans="4:6">
      <c r="D463" s="15"/>
      <c r="F463" s="11"/>
    </row>
    <row r="464" spans="4:6">
      <c r="D464" s="15"/>
      <c r="F464" s="11"/>
    </row>
    <row r="465" spans="4:6">
      <c r="D465" s="15"/>
      <c r="F465" s="11"/>
    </row>
    <row r="466" spans="4:6">
      <c r="D466" s="15"/>
      <c r="F466" s="11"/>
    </row>
    <row r="467" spans="4:6">
      <c r="D467" s="15"/>
      <c r="F467" s="11"/>
    </row>
    <row r="468" spans="4:6">
      <c r="D468" s="15"/>
      <c r="F468" s="11"/>
    </row>
    <row r="469" spans="4:6">
      <c r="D469" s="15"/>
      <c r="F469" s="11"/>
    </row>
    <row r="470" spans="4:6">
      <c r="D470" s="15"/>
      <c r="F470" s="11"/>
    </row>
    <row r="471" spans="4:6">
      <c r="D471" s="15"/>
      <c r="F471" s="11"/>
    </row>
    <row r="472" spans="4:6">
      <c r="D472" s="15"/>
      <c r="F472" s="11"/>
    </row>
    <row r="473" spans="4:6">
      <c r="D473" s="15"/>
      <c r="F473" s="11"/>
    </row>
    <row r="474" spans="4:6">
      <c r="D474" s="15"/>
      <c r="F474" s="11"/>
    </row>
    <row r="475" spans="4:6">
      <c r="D475" s="15"/>
      <c r="F475" s="11"/>
    </row>
    <row r="476" spans="4:6">
      <c r="D476" s="15"/>
      <c r="F476" s="11"/>
    </row>
    <row r="477" spans="4:6">
      <c r="D477" s="15"/>
      <c r="F477" s="11"/>
    </row>
    <row r="478" spans="4:6">
      <c r="D478" s="15"/>
      <c r="F478" s="11"/>
    </row>
    <row r="479" spans="4:6">
      <c r="D479" s="15"/>
      <c r="F479" s="11"/>
    </row>
    <row r="480" spans="4:6">
      <c r="D480" s="15"/>
      <c r="F480" s="11"/>
    </row>
    <row r="481" spans="4:6">
      <c r="D481" s="15"/>
      <c r="F481" s="11"/>
    </row>
    <row r="482" spans="4:6">
      <c r="D482" s="15"/>
      <c r="F482" s="11"/>
    </row>
    <row r="483" spans="4:6">
      <c r="D483" s="15"/>
      <c r="F483" s="11"/>
    </row>
    <row r="484" spans="4:6">
      <c r="D484" s="15"/>
      <c r="F484" s="11"/>
    </row>
    <row r="485" spans="4:6">
      <c r="D485" s="15"/>
      <c r="F485" s="11"/>
    </row>
    <row r="486" spans="4:6">
      <c r="D486" s="15"/>
      <c r="F486" s="11"/>
    </row>
    <row r="487" spans="4:6">
      <c r="D487" s="15"/>
      <c r="F487" s="11"/>
    </row>
    <row r="488" spans="4:6">
      <c r="D488" s="15"/>
      <c r="F488" s="11"/>
    </row>
    <row r="489" spans="4:6">
      <c r="D489" s="15"/>
      <c r="F489" s="11"/>
    </row>
    <row r="490" spans="4:6">
      <c r="D490" s="15"/>
      <c r="F490" s="11"/>
    </row>
    <row r="491" spans="4:6">
      <c r="D491" s="15"/>
      <c r="F491" s="11"/>
    </row>
    <row r="492" spans="4:6">
      <c r="D492" s="15"/>
      <c r="F492" s="11"/>
    </row>
    <row r="493" spans="4:6">
      <c r="D493" s="15"/>
      <c r="F493" s="11"/>
    </row>
    <row r="494" spans="4:6">
      <c r="D494" s="15"/>
      <c r="F494" s="11"/>
    </row>
    <row r="495" spans="4:6">
      <c r="D495" s="15"/>
      <c r="F495" s="11"/>
    </row>
    <row r="496" spans="4:6">
      <c r="D496" s="15"/>
      <c r="F496" s="11"/>
    </row>
    <row r="497" spans="4:6">
      <c r="D497" s="15"/>
      <c r="F497" s="11"/>
    </row>
    <row r="498" spans="4:6">
      <c r="D498" s="15"/>
      <c r="F498" s="11"/>
    </row>
    <row r="499" spans="4:6">
      <c r="D499" s="15"/>
      <c r="F499" s="11"/>
    </row>
    <row r="500" spans="4:6">
      <c r="D500" s="15"/>
      <c r="F500" s="11"/>
    </row>
    <row r="501" spans="4:6">
      <c r="D501" s="15"/>
      <c r="F501" s="11"/>
    </row>
    <row r="502" spans="4:6">
      <c r="D502" s="15"/>
      <c r="F502" s="11"/>
    </row>
    <row r="503" spans="4:6">
      <c r="D503" s="15"/>
      <c r="F503" s="11"/>
    </row>
    <row r="504" spans="4:6">
      <c r="D504" s="15"/>
      <c r="F504" s="11"/>
    </row>
    <row r="505" spans="4:6">
      <c r="D505" s="15"/>
      <c r="F505" s="11"/>
    </row>
    <row r="506" spans="4:6">
      <c r="D506" s="15"/>
      <c r="F506" s="11"/>
    </row>
    <row r="507" spans="4:6">
      <c r="D507" s="15"/>
      <c r="F507" s="11"/>
    </row>
    <row r="508" spans="4:6">
      <c r="D508" s="15"/>
      <c r="F508" s="11"/>
    </row>
    <row r="509" spans="4:6">
      <c r="D509" s="15"/>
      <c r="F509" s="11"/>
    </row>
    <row r="510" spans="4:6">
      <c r="D510" s="15"/>
      <c r="F510" s="11"/>
    </row>
    <row r="511" spans="4:6">
      <c r="D511" s="15"/>
      <c r="F511" s="11"/>
    </row>
    <row r="512" spans="4:6">
      <c r="D512" s="15"/>
      <c r="F512" s="11"/>
    </row>
    <row r="513" spans="4:6">
      <c r="D513" s="15"/>
      <c r="F513" s="11"/>
    </row>
    <row r="514" spans="4:6">
      <c r="D514" s="15"/>
      <c r="F514" s="11"/>
    </row>
    <row r="515" spans="4:6">
      <c r="D515" s="15"/>
      <c r="F515" s="11"/>
    </row>
    <row r="516" spans="4:6">
      <c r="D516" s="15"/>
      <c r="F516" s="11"/>
    </row>
    <row r="517" spans="4:6">
      <c r="D517" s="15"/>
      <c r="F517" s="11"/>
    </row>
    <row r="518" spans="4:6">
      <c r="D518" s="15"/>
      <c r="F518" s="11"/>
    </row>
    <row r="519" spans="4:6">
      <c r="D519" s="15"/>
      <c r="F519" s="11"/>
    </row>
    <row r="520" spans="4:6">
      <c r="D520" s="15"/>
      <c r="F520" s="11"/>
    </row>
    <row r="521" spans="4:6">
      <c r="D521" s="15"/>
      <c r="F521" s="11"/>
    </row>
    <row r="522" spans="4:6">
      <c r="D522" s="15"/>
      <c r="F522" s="11"/>
    </row>
    <row r="523" spans="4:6">
      <c r="D523" s="15"/>
      <c r="F523" s="11"/>
    </row>
    <row r="524" spans="4:6">
      <c r="D524" s="15"/>
      <c r="F524" s="11"/>
    </row>
    <row r="525" spans="4:6">
      <c r="D525" s="15"/>
      <c r="F525" s="11"/>
    </row>
    <row r="526" spans="4:6">
      <c r="D526" s="15"/>
      <c r="F526" s="11"/>
    </row>
    <row r="527" spans="4:6">
      <c r="D527" s="15"/>
      <c r="F527" s="11"/>
    </row>
    <row r="528" spans="4:6">
      <c r="D528" s="15"/>
      <c r="F528" s="11"/>
    </row>
    <row r="529" spans="4:6">
      <c r="D529" s="15"/>
      <c r="F529" s="11"/>
    </row>
    <row r="530" spans="4:6">
      <c r="D530" s="15"/>
      <c r="F530" s="11"/>
    </row>
    <row r="531" spans="4:6">
      <c r="D531" s="15"/>
      <c r="F531" s="11"/>
    </row>
    <row r="532" spans="4:6">
      <c r="D532" s="15"/>
      <c r="F532" s="11"/>
    </row>
    <row r="533" spans="4:6">
      <c r="D533" s="15"/>
      <c r="F533" s="11"/>
    </row>
    <row r="534" spans="4:6">
      <c r="D534" s="15"/>
      <c r="F534" s="11"/>
    </row>
    <row r="535" spans="4:6">
      <c r="D535" s="15"/>
      <c r="F535" s="11"/>
    </row>
    <row r="536" spans="4:6">
      <c r="D536" s="15"/>
      <c r="F536" s="11"/>
    </row>
    <row r="537" spans="4:6">
      <c r="D537" s="15"/>
      <c r="F537" s="11"/>
    </row>
    <row r="538" spans="4:6">
      <c r="D538" s="15"/>
      <c r="F538" s="11"/>
    </row>
    <row r="539" spans="4:6">
      <c r="D539" s="15"/>
      <c r="F539" s="11"/>
    </row>
    <row r="540" spans="4:6">
      <c r="D540" s="15"/>
      <c r="F540" s="11"/>
    </row>
    <row r="541" spans="4:6">
      <c r="D541" s="15"/>
      <c r="F541" s="11"/>
    </row>
    <row r="542" spans="4:6">
      <c r="D542" s="15"/>
      <c r="F542" s="11"/>
    </row>
    <row r="543" spans="4:6">
      <c r="D543" s="15"/>
      <c r="F543" s="11"/>
    </row>
    <row r="544" spans="4:6">
      <c r="D544" s="15"/>
      <c r="F544" s="11"/>
    </row>
    <row r="545" spans="4:6">
      <c r="D545" s="15"/>
      <c r="F545" s="11"/>
    </row>
    <row r="546" spans="4:6">
      <c r="D546" s="15"/>
      <c r="F546" s="11"/>
    </row>
    <row r="547" spans="4:6">
      <c r="D547" s="15"/>
      <c r="F547" s="11"/>
    </row>
    <row r="548" spans="4:6">
      <c r="D548" s="15"/>
      <c r="F548" s="11"/>
    </row>
    <row r="549" spans="4:6">
      <c r="D549" s="15"/>
      <c r="F549" s="11"/>
    </row>
    <row r="550" spans="4:6">
      <c r="D550" s="15"/>
      <c r="F550" s="11"/>
    </row>
    <row r="551" spans="4:6">
      <c r="D551" s="15"/>
      <c r="F551" s="11"/>
    </row>
    <row r="552" spans="4:6">
      <c r="D552" s="15"/>
      <c r="F552" s="11"/>
    </row>
    <row r="553" spans="4:6">
      <c r="D553" s="15"/>
      <c r="F553" s="11"/>
    </row>
    <row r="554" spans="4:6">
      <c r="D554" s="15"/>
      <c r="F554" s="11"/>
    </row>
    <row r="555" spans="4:6">
      <c r="D555" s="15"/>
      <c r="F555" s="11"/>
    </row>
    <row r="556" spans="4:6">
      <c r="D556" s="15"/>
      <c r="F556" s="11"/>
    </row>
    <row r="557" spans="4:6">
      <c r="D557" s="15"/>
      <c r="F557" s="11"/>
    </row>
    <row r="558" spans="4:6">
      <c r="D558" s="15"/>
      <c r="F558" s="11"/>
    </row>
    <row r="559" spans="4:6">
      <c r="D559" s="15"/>
      <c r="F559" s="11"/>
    </row>
    <row r="560" spans="4:6">
      <c r="D560" s="15"/>
      <c r="F560" s="11"/>
    </row>
    <row r="561" spans="4:6">
      <c r="D561" s="15"/>
      <c r="F561" s="11"/>
    </row>
    <row r="562" spans="4:6">
      <c r="D562" s="15"/>
      <c r="F562" s="11"/>
    </row>
    <row r="563" spans="4:6">
      <c r="D563" s="15"/>
      <c r="F563" s="11"/>
    </row>
    <row r="564" spans="4:6">
      <c r="D564" s="15"/>
      <c r="F564" s="11"/>
    </row>
    <row r="565" spans="4:6">
      <c r="D565" s="15"/>
      <c r="F565" s="11"/>
    </row>
    <row r="566" spans="4:6">
      <c r="D566" s="15"/>
      <c r="F566" s="11"/>
    </row>
    <row r="567" spans="4:6">
      <c r="D567" s="15"/>
      <c r="F567" s="11"/>
    </row>
    <row r="568" spans="4:6">
      <c r="D568" s="15"/>
      <c r="F568" s="11"/>
    </row>
    <row r="569" spans="4:6">
      <c r="D569" s="15"/>
      <c r="F569" s="11"/>
    </row>
    <row r="570" spans="4:6">
      <c r="D570" s="15"/>
      <c r="F570" s="11"/>
    </row>
    <row r="571" spans="4:6">
      <c r="D571" s="15"/>
      <c r="F571" s="11"/>
    </row>
    <row r="572" spans="4:6">
      <c r="D572" s="15"/>
      <c r="F572" s="11"/>
    </row>
    <row r="573" spans="4:6">
      <c r="D573" s="15"/>
      <c r="F573" s="11"/>
    </row>
    <row r="574" spans="4:6">
      <c r="D574" s="15"/>
      <c r="F574" s="11"/>
    </row>
    <row r="575" spans="4:6">
      <c r="D575" s="15"/>
      <c r="F575" s="11"/>
    </row>
    <row r="576" spans="4:6">
      <c r="D576" s="15"/>
      <c r="F576" s="11"/>
    </row>
    <row r="577" spans="4:6">
      <c r="D577" s="15"/>
      <c r="F577" s="11"/>
    </row>
    <row r="578" spans="4:6">
      <c r="D578" s="15"/>
      <c r="F578" s="11"/>
    </row>
    <row r="579" spans="4:6">
      <c r="D579" s="15"/>
      <c r="F579" s="11"/>
    </row>
    <row r="580" spans="4:6">
      <c r="D580" s="15"/>
      <c r="F580" s="11"/>
    </row>
    <row r="581" spans="4:6">
      <c r="D581" s="15"/>
      <c r="F581" s="11"/>
    </row>
    <row r="582" spans="4:6">
      <c r="D582" s="15"/>
      <c r="F582" s="11"/>
    </row>
    <row r="583" spans="4:6">
      <c r="D583" s="15"/>
      <c r="F583" s="11"/>
    </row>
    <row r="584" spans="4:6">
      <c r="D584" s="15"/>
      <c r="F584" s="11"/>
    </row>
    <row r="585" spans="4:6">
      <c r="D585" s="15"/>
      <c r="F585" s="11"/>
    </row>
    <row r="586" spans="4:6">
      <c r="D586" s="15"/>
      <c r="F586" s="11"/>
    </row>
    <row r="587" spans="4:6">
      <c r="D587" s="15"/>
      <c r="F587" s="11"/>
    </row>
    <row r="588" spans="4:6">
      <c r="D588" s="15"/>
      <c r="F588" s="11"/>
    </row>
    <row r="589" spans="4:6">
      <c r="D589" s="15"/>
      <c r="F589" s="11"/>
    </row>
    <row r="590" spans="4:6">
      <c r="D590" s="15"/>
      <c r="F590" s="11"/>
    </row>
    <row r="591" spans="4:6">
      <c r="D591" s="15"/>
      <c r="F591" s="11"/>
    </row>
    <row r="592" spans="4:6">
      <c r="D592" s="15"/>
      <c r="F592" s="11"/>
    </row>
    <row r="593" spans="4:6">
      <c r="D593" s="15"/>
      <c r="F593" s="11"/>
    </row>
    <row r="594" spans="4:6">
      <c r="D594" s="15"/>
      <c r="F594" s="11"/>
    </row>
    <row r="595" spans="4:6">
      <c r="D595" s="15"/>
      <c r="F595" s="11"/>
    </row>
    <row r="596" spans="4:6">
      <c r="D596" s="15"/>
      <c r="F596" s="11"/>
    </row>
    <row r="597" spans="4:6">
      <c r="D597" s="15"/>
      <c r="F597" s="11"/>
    </row>
    <row r="598" spans="4:6">
      <c r="D598" s="15"/>
      <c r="F598" s="11"/>
    </row>
    <row r="599" spans="4:6">
      <c r="D599" s="15"/>
      <c r="F599" s="11"/>
    </row>
    <row r="600" spans="4:6">
      <c r="D600" s="15"/>
      <c r="F600" s="11"/>
    </row>
    <row r="601" spans="4:6">
      <c r="D601" s="15"/>
      <c r="F601" s="11"/>
    </row>
    <row r="602" spans="4:6">
      <c r="D602" s="15"/>
      <c r="F602" s="11"/>
    </row>
    <row r="603" spans="4:6">
      <c r="D603" s="15"/>
      <c r="F603" s="11"/>
    </row>
    <row r="604" spans="4:6">
      <c r="D604" s="15"/>
      <c r="F604" s="11"/>
    </row>
    <row r="605" spans="4:6">
      <c r="D605" s="15"/>
      <c r="F605" s="11"/>
    </row>
    <row r="606" spans="4:6">
      <c r="D606" s="15"/>
      <c r="F606" s="11"/>
    </row>
    <row r="607" spans="4:6">
      <c r="D607" s="15"/>
      <c r="F607" s="11"/>
    </row>
    <row r="608" spans="4:6">
      <c r="D608" s="15"/>
      <c r="F608" s="11"/>
    </row>
    <row r="609" spans="4:6">
      <c r="D609" s="15"/>
      <c r="F609" s="11"/>
    </row>
    <row r="610" spans="4:6">
      <c r="D610" s="15"/>
      <c r="F610" s="11"/>
    </row>
    <row r="611" spans="4:6">
      <c r="D611" s="15"/>
      <c r="F611" s="11"/>
    </row>
    <row r="612" spans="4:6">
      <c r="D612" s="15"/>
      <c r="F612" s="11"/>
    </row>
    <row r="613" spans="4:6">
      <c r="D613" s="15"/>
      <c r="F613" s="11"/>
    </row>
    <row r="614" spans="4:6">
      <c r="D614" s="15"/>
      <c r="F614" s="11"/>
    </row>
    <row r="615" spans="4:6">
      <c r="D615" s="15"/>
      <c r="F615" s="11"/>
    </row>
    <row r="616" spans="4:6">
      <c r="D616" s="15"/>
      <c r="F616" s="11"/>
    </row>
    <row r="617" spans="4:6">
      <c r="D617" s="15"/>
      <c r="F617" s="11"/>
    </row>
    <row r="618" spans="4:6">
      <c r="D618" s="15"/>
      <c r="F618" s="11"/>
    </row>
    <row r="619" spans="4:6">
      <c r="D619" s="15"/>
      <c r="F619" s="11"/>
    </row>
    <row r="620" spans="4:6">
      <c r="D620" s="15"/>
      <c r="F620" s="11"/>
    </row>
    <row r="621" spans="4:6">
      <c r="D621" s="15"/>
      <c r="F621" s="11"/>
    </row>
    <row r="622" spans="4:6">
      <c r="D622" s="15"/>
      <c r="F622" s="11"/>
    </row>
    <row r="623" spans="4:6">
      <c r="D623" s="15"/>
      <c r="F623" s="11"/>
    </row>
    <row r="624" spans="4:6">
      <c r="D624" s="15"/>
      <c r="F624" s="11"/>
    </row>
    <row r="625" spans="4:6">
      <c r="D625" s="15"/>
      <c r="F625" s="11"/>
    </row>
    <row r="626" spans="4:6">
      <c r="D626" s="15"/>
      <c r="F626" s="11"/>
    </row>
    <row r="627" spans="4:6">
      <c r="D627" s="15"/>
      <c r="F627" s="11"/>
    </row>
    <row r="628" spans="4:6">
      <c r="D628" s="15"/>
      <c r="F628" s="11"/>
    </row>
    <row r="629" spans="4:6">
      <c r="D629" s="15"/>
      <c r="F629" s="11"/>
    </row>
    <row r="630" spans="4:6">
      <c r="D630" s="15"/>
      <c r="F630" s="11"/>
    </row>
    <row r="631" spans="4:6">
      <c r="D631" s="15"/>
      <c r="F631" s="11"/>
    </row>
    <row r="632" spans="4:6">
      <c r="D632" s="15"/>
      <c r="F632" s="11"/>
    </row>
    <row r="633" spans="4:6">
      <c r="D633" s="15"/>
      <c r="F633" s="11"/>
    </row>
    <row r="634" spans="4:6">
      <c r="D634" s="15"/>
      <c r="F634" s="11"/>
    </row>
    <row r="635" spans="4:6">
      <c r="D635" s="15"/>
      <c r="F635" s="11"/>
    </row>
    <row r="636" spans="4:6">
      <c r="D636" s="15"/>
      <c r="F636" s="11"/>
    </row>
    <row r="637" spans="4:6">
      <c r="D637" s="15"/>
      <c r="F637" s="11"/>
    </row>
    <row r="638" spans="4:6">
      <c r="D638" s="15"/>
      <c r="F638" s="11"/>
    </row>
    <row r="639" spans="4:6">
      <c r="D639" s="15"/>
      <c r="F639" s="11"/>
    </row>
    <row r="640" spans="4:6">
      <c r="D640" s="15"/>
      <c r="F640" s="11"/>
    </row>
    <row r="641" spans="4:6">
      <c r="D641" s="15"/>
      <c r="F641" s="11"/>
    </row>
    <row r="642" spans="4:6">
      <c r="D642" s="15"/>
      <c r="F642" s="11"/>
    </row>
    <row r="643" spans="4:6">
      <c r="D643" s="15"/>
      <c r="F643" s="11"/>
    </row>
    <row r="644" spans="4:6">
      <c r="D644" s="15"/>
      <c r="F644" s="11"/>
    </row>
    <row r="645" spans="4:6">
      <c r="D645" s="15"/>
      <c r="F645" s="11"/>
    </row>
    <row r="646" spans="4:6">
      <c r="D646" s="15"/>
      <c r="F646" s="11"/>
    </row>
    <row r="647" spans="4:6">
      <c r="D647" s="15"/>
      <c r="F647" s="11"/>
    </row>
    <row r="648" spans="4:6">
      <c r="D648" s="15"/>
      <c r="F648" s="11"/>
    </row>
    <row r="649" spans="4:6">
      <c r="D649" s="15"/>
      <c r="F649" s="11"/>
    </row>
    <row r="650" spans="4:6">
      <c r="D650" s="15"/>
      <c r="F650" s="11"/>
    </row>
    <row r="651" spans="4:6">
      <c r="D651" s="15"/>
      <c r="F651" s="11"/>
    </row>
    <row r="652" spans="4:6">
      <c r="D652" s="15"/>
      <c r="F652" s="11"/>
    </row>
    <row r="653" spans="4:6">
      <c r="D653" s="15"/>
      <c r="F653" s="11"/>
    </row>
    <row r="654" spans="4:6">
      <c r="D654" s="15"/>
      <c r="F654" s="11"/>
    </row>
    <row r="655" spans="4:6">
      <c r="D655" s="15"/>
      <c r="F655" s="11"/>
    </row>
    <row r="656" spans="4:6">
      <c r="D656" s="15"/>
      <c r="F656" s="11"/>
    </row>
    <row r="657" spans="4:6">
      <c r="D657" s="15"/>
      <c r="F657" s="11"/>
    </row>
    <row r="658" spans="4:6">
      <c r="D658" s="15"/>
      <c r="F658" s="11"/>
    </row>
    <row r="659" spans="4:6">
      <c r="D659" s="15"/>
      <c r="F659" s="11"/>
    </row>
    <row r="660" spans="4:6">
      <c r="D660" s="15"/>
      <c r="F660" s="11"/>
    </row>
    <row r="661" spans="4:6">
      <c r="D661" s="15"/>
      <c r="F661" s="11"/>
    </row>
    <row r="662" spans="4:6">
      <c r="D662" s="15"/>
      <c r="F662" s="11"/>
    </row>
    <row r="663" spans="4:6">
      <c r="D663" s="15"/>
      <c r="F663" s="11"/>
    </row>
    <row r="664" spans="4:6">
      <c r="D664" s="15"/>
      <c r="F664" s="11"/>
    </row>
    <row r="665" spans="4:6">
      <c r="D665" s="15"/>
      <c r="F665" s="11"/>
    </row>
    <row r="666" spans="4:6">
      <c r="D666" s="15"/>
      <c r="F666" s="11"/>
    </row>
    <row r="667" spans="4:6">
      <c r="D667" s="15"/>
      <c r="F667" s="11"/>
    </row>
    <row r="668" spans="4:6">
      <c r="D668" s="15"/>
      <c r="F668" s="11"/>
    </row>
    <row r="669" spans="4:6">
      <c r="D669" s="15"/>
      <c r="F669" s="11"/>
    </row>
    <row r="670" spans="4:6">
      <c r="D670" s="15"/>
      <c r="F670" s="11"/>
    </row>
    <row r="671" spans="4:6">
      <c r="D671" s="15"/>
      <c r="F671" s="11"/>
    </row>
    <row r="672" spans="4:6">
      <c r="D672" s="15"/>
      <c r="F672" s="11"/>
    </row>
    <row r="673" spans="4:6">
      <c r="D673" s="15"/>
      <c r="F673" s="11"/>
    </row>
    <row r="674" spans="4:6">
      <c r="D674" s="15"/>
      <c r="F674" s="11"/>
    </row>
    <row r="675" spans="4:6">
      <c r="D675" s="15"/>
      <c r="F675" s="11"/>
    </row>
    <row r="676" spans="4:6">
      <c r="D676" s="15"/>
      <c r="F676" s="11"/>
    </row>
    <row r="677" spans="4:6">
      <c r="D677" s="15"/>
      <c r="F677" s="11"/>
    </row>
    <row r="678" spans="4:6">
      <c r="D678" s="15"/>
      <c r="F678" s="11"/>
    </row>
    <row r="679" spans="4:6">
      <c r="D679" s="15"/>
      <c r="F679" s="11"/>
    </row>
    <row r="680" spans="4:6">
      <c r="D680" s="15"/>
      <c r="F680" s="11"/>
    </row>
    <row r="681" spans="4:6">
      <c r="D681" s="15"/>
      <c r="F681" s="11"/>
    </row>
    <row r="682" spans="4:6">
      <c r="D682" s="15"/>
      <c r="F682" s="11"/>
    </row>
    <row r="683" spans="4:6">
      <c r="D683" s="15"/>
      <c r="F683" s="11"/>
    </row>
    <row r="684" spans="4:6">
      <c r="D684" s="15"/>
      <c r="F684" s="11"/>
    </row>
    <row r="685" spans="4:6">
      <c r="D685" s="15"/>
      <c r="F685" s="11"/>
    </row>
    <row r="686" spans="4:6">
      <c r="D686" s="15"/>
      <c r="F686" s="11"/>
    </row>
    <row r="687" spans="4:6">
      <c r="D687" s="15"/>
      <c r="F687" s="11"/>
    </row>
    <row r="688" spans="4:6">
      <c r="D688" s="15"/>
      <c r="F688" s="11"/>
    </row>
    <row r="689" spans="4:6">
      <c r="D689" s="15"/>
      <c r="F689" s="11"/>
    </row>
    <row r="690" spans="4:6">
      <c r="D690" s="15"/>
      <c r="F690" s="11"/>
    </row>
    <row r="691" spans="4:6">
      <c r="D691" s="15"/>
      <c r="F691" s="11"/>
    </row>
    <row r="692" spans="4:6">
      <c r="D692" s="15"/>
      <c r="F692" s="11"/>
    </row>
    <row r="693" spans="4:6">
      <c r="D693" s="15"/>
      <c r="F693" s="11"/>
    </row>
    <row r="694" spans="4:6">
      <c r="D694" s="15"/>
      <c r="F694" s="11"/>
    </row>
    <row r="695" spans="4:6">
      <c r="D695" s="15"/>
      <c r="F695" s="11"/>
    </row>
    <row r="696" spans="4:6">
      <c r="D696" s="15"/>
      <c r="F696" s="11"/>
    </row>
    <row r="697" spans="4:6">
      <c r="D697" s="15"/>
      <c r="F697" s="11"/>
    </row>
    <row r="698" spans="4:6">
      <c r="D698" s="15"/>
      <c r="F698" s="11"/>
    </row>
    <row r="699" spans="4:6">
      <c r="D699" s="15"/>
      <c r="F699" s="11"/>
    </row>
    <row r="700" spans="4:6">
      <c r="D700" s="15"/>
      <c r="F700" s="11"/>
    </row>
    <row r="701" spans="4:6">
      <c r="D701" s="15"/>
      <c r="F701" s="11"/>
    </row>
    <row r="702" spans="4:6">
      <c r="D702" s="15"/>
      <c r="F702" s="11"/>
    </row>
    <row r="703" spans="4:6">
      <c r="D703" s="15"/>
      <c r="F703" s="11"/>
    </row>
    <row r="704" spans="4:6">
      <c r="D704" s="15"/>
      <c r="F704" s="11"/>
    </row>
    <row r="705" spans="4:6">
      <c r="D705" s="15"/>
      <c r="F705" s="11"/>
    </row>
    <row r="706" spans="4:6">
      <c r="D706" s="15"/>
      <c r="F706" s="11"/>
    </row>
    <row r="707" spans="4:6">
      <c r="D707" s="15"/>
      <c r="F707" s="11"/>
    </row>
    <row r="708" spans="4:6">
      <c r="D708" s="15"/>
      <c r="F708" s="11"/>
    </row>
    <row r="709" spans="4:6">
      <c r="D709" s="15"/>
      <c r="F709" s="11"/>
    </row>
    <row r="710" spans="4:6">
      <c r="D710" s="15"/>
      <c r="F710" s="11"/>
    </row>
    <row r="711" spans="4:6">
      <c r="D711" s="15"/>
      <c r="F711" s="11"/>
    </row>
    <row r="712" spans="4:6">
      <c r="D712" s="15"/>
      <c r="F712" s="11"/>
    </row>
    <row r="713" spans="4:6">
      <c r="D713" s="15"/>
      <c r="F713" s="11"/>
    </row>
    <row r="714" spans="4:6">
      <c r="D714" s="15"/>
      <c r="F714" s="11"/>
    </row>
    <row r="715" spans="4:6">
      <c r="D715" s="15"/>
      <c r="F715" s="11"/>
    </row>
    <row r="716" spans="4:6">
      <c r="D716" s="15"/>
      <c r="F716" s="11"/>
    </row>
    <row r="717" spans="4:6">
      <c r="D717" s="15"/>
      <c r="F717" s="11"/>
    </row>
    <row r="718" spans="4:6">
      <c r="D718" s="15"/>
      <c r="F718" s="11"/>
    </row>
    <row r="719" spans="4:6">
      <c r="D719" s="15"/>
      <c r="F719" s="11"/>
    </row>
    <row r="720" spans="4:6">
      <c r="D720" s="15"/>
      <c r="F720" s="11"/>
    </row>
    <row r="721" spans="4:6">
      <c r="D721" s="15"/>
      <c r="F721" s="11"/>
    </row>
    <row r="722" spans="4:6">
      <c r="D722" s="15"/>
      <c r="F722" s="11"/>
    </row>
    <row r="723" spans="4:6">
      <c r="D723" s="15"/>
      <c r="F723" s="11"/>
    </row>
    <row r="724" spans="4:6">
      <c r="D724" s="15"/>
      <c r="F724" s="11"/>
    </row>
    <row r="725" spans="4:6">
      <c r="D725" s="15"/>
      <c r="F725" s="11"/>
    </row>
    <row r="726" spans="4:6">
      <c r="D726" s="15"/>
      <c r="F726" s="11"/>
    </row>
    <row r="727" spans="4:6">
      <c r="D727" s="15"/>
      <c r="F727" s="11"/>
    </row>
    <row r="728" spans="4:6">
      <c r="D728" s="15"/>
      <c r="F728" s="11"/>
    </row>
    <row r="729" spans="4:6">
      <c r="D729" s="15"/>
      <c r="F729" s="11"/>
    </row>
    <row r="730" spans="4:6">
      <c r="D730" s="15"/>
      <c r="F730" s="11"/>
    </row>
    <row r="731" spans="4:6">
      <c r="D731" s="15"/>
      <c r="F731" s="11"/>
    </row>
    <row r="732" spans="4:6">
      <c r="D732" s="15"/>
      <c r="F732" s="11"/>
    </row>
    <row r="733" spans="4:6">
      <c r="D733" s="15"/>
      <c r="F733" s="11"/>
    </row>
    <row r="734" spans="4:6">
      <c r="D734" s="15"/>
      <c r="F734" s="11"/>
    </row>
    <row r="735" spans="4:6">
      <c r="D735" s="15"/>
      <c r="F735" s="11"/>
    </row>
    <row r="736" spans="4:6">
      <c r="D736" s="15"/>
      <c r="F736" s="11"/>
    </row>
    <row r="737" spans="4:6">
      <c r="D737" s="15"/>
      <c r="F737" s="11"/>
    </row>
    <row r="738" spans="4:6">
      <c r="D738" s="15"/>
      <c r="F738" s="11"/>
    </row>
    <row r="739" spans="4:6">
      <c r="D739" s="15"/>
      <c r="F739" s="11"/>
    </row>
    <row r="740" spans="4:6">
      <c r="D740" s="15"/>
      <c r="F740" s="11"/>
    </row>
    <row r="741" spans="4:6">
      <c r="D741" s="15"/>
      <c r="F741" s="11"/>
    </row>
    <row r="742" spans="4:6">
      <c r="D742" s="15"/>
      <c r="F742" s="11"/>
    </row>
    <row r="743" spans="4:6">
      <c r="D743" s="15"/>
      <c r="F743" s="11"/>
    </row>
    <row r="744" spans="4:6">
      <c r="D744" s="15"/>
      <c r="F744" s="11"/>
    </row>
    <row r="745" spans="4:6">
      <c r="D745" s="15"/>
      <c r="F745" s="11"/>
    </row>
    <row r="746" spans="4:6">
      <c r="D746" s="15"/>
      <c r="F746" s="11"/>
    </row>
    <row r="747" spans="4:6">
      <c r="D747" s="15"/>
      <c r="F747" s="11"/>
    </row>
    <row r="748" spans="4:6">
      <c r="D748" s="15"/>
      <c r="F748" s="11"/>
    </row>
    <row r="749" spans="4:6">
      <c r="D749" s="15"/>
      <c r="F749" s="11"/>
    </row>
    <row r="750" spans="4:6">
      <c r="D750" s="15"/>
      <c r="F750" s="11"/>
    </row>
    <row r="751" spans="4:6">
      <c r="D751" s="15"/>
      <c r="F751" s="11"/>
    </row>
    <row r="752" spans="4:6">
      <c r="D752" s="15"/>
      <c r="F752" s="11"/>
    </row>
    <row r="753" spans="4:6">
      <c r="D753" s="15"/>
      <c r="F753" s="11"/>
    </row>
    <row r="754" spans="4:6">
      <c r="D754" s="15"/>
      <c r="F754" s="11"/>
    </row>
    <row r="755" spans="4:6">
      <c r="D755" s="15"/>
      <c r="F755" s="11"/>
    </row>
    <row r="756" spans="4:6">
      <c r="D756" s="15"/>
      <c r="F756" s="11"/>
    </row>
    <row r="757" spans="4:6">
      <c r="D757" s="15"/>
      <c r="F757" s="11"/>
    </row>
    <row r="758" spans="4:6">
      <c r="D758" s="15"/>
      <c r="F758" s="11"/>
    </row>
    <row r="759" spans="4:6">
      <c r="D759" s="15"/>
      <c r="F759" s="11"/>
    </row>
    <row r="760" spans="4:6">
      <c r="D760" s="15"/>
      <c r="F760" s="11"/>
    </row>
    <row r="761" spans="4:6">
      <c r="D761" s="15"/>
      <c r="F761" s="11"/>
    </row>
    <row r="762" spans="4:6">
      <c r="D762" s="15"/>
      <c r="F762" s="11"/>
    </row>
    <row r="763" spans="4:6">
      <c r="D763" s="15"/>
      <c r="F763" s="11"/>
    </row>
    <row r="764" spans="4:6">
      <c r="D764" s="15"/>
      <c r="F764" s="11"/>
    </row>
    <row r="765" spans="4:6">
      <c r="D765" s="15"/>
      <c r="F765" s="11"/>
    </row>
    <row r="766" spans="4:6">
      <c r="D766" s="15"/>
      <c r="F766" s="11"/>
    </row>
    <row r="767" spans="4:6">
      <c r="D767" s="15"/>
      <c r="F767" s="11"/>
    </row>
    <row r="768" spans="4:6">
      <c r="D768" s="15"/>
      <c r="F768" s="11"/>
    </row>
    <row r="769" spans="4:6">
      <c r="D769" s="15"/>
      <c r="F769" s="11"/>
    </row>
    <row r="770" spans="4:6">
      <c r="D770" s="15"/>
      <c r="F770" s="11"/>
    </row>
    <row r="771" spans="4:6">
      <c r="D771" s="15"/>
      <c r="F771" s="11"/>
    </row>
    <row r="772" spans="4:6">
      <c r="D772" s="15"/>
      <c r="F772" s="11"/>
    </row>
    <row r="773" spans="4:6">
      <c r="D773" s="15"/>
      <c r="F773" s="11"/>
    </row>
    <row r="774" spans="4:6">
      <c r="D774" s="15"/>
      <c r="F774" s="11"/>
    </row>
    <row r="775" spans="4:6">
      <c r="D775" s="15"/>
      <c r="F775" s="11"/>
    </row>
    <row r="776" spans="4:6">
      <c r="D776" s="15"/>
      <c r="F776" s="11"/>
    </row>
    <row r="777" spans="4:6">
      <c r="D777" s="15"/>
      <c r="F777" s="11"/>
    </row>
    <row r="778" spans="4:6">
      <c r="D778" s="15"/>
      <c r="F778" s="11"/>
    </row>
    <row r="779" spans="4:6">
      <c r="D779" s="15"/>
      <c r="F779" s="11"/>
    </row>
    <row r="780" spans="4:6">
      <c r="D780" s="15"/>
      <c r="F780" s="11"/>
    </row>
    <row r="781" spans="4:6">
      <c r="D781" s="15"/>
      <c r="F781" s="11"/>
    </row>
    <row r="782" spans="4:6">
      <c r="D782" s="15"/>
      <c r="F782" s="11"/>
    </row>
    <row r="783" spans="4:6">
      <c r="D783" s="15"/>
      <c r="F783" s="11"/>
    </row>
    <row r="784" spans="4:6">
      <c r="D784" s="15"/>
      <c r="F784" s="11"/>
    </row>
    <row r="785" spans="4:6">
      <c r="D785" s="15"/>
      <c r="F785" s="11"/>
    </row>
    <row r="786" spans="4:6">
      <c r="D786" s="15"/>
      <c r="F786" s="11"/>
    </row>
    <row r="787" spans="4:6">
      <c r="D787" s="15"/>
      <c r="F787" s="11"/>
    </row>
    <row r="788" spans="4:6">
      <c r="D788" s="15"/>
      <c r="F788" s="11"/>
    </row>
    <row r="789" spans="4:6">
      <c r="D789" s="15"/>
      <c r="F789" s="11"/>
    </row>
    <row r="790" spans="4:6">
      <c r="D790" s="15"/>
      <c r="F790" s="11"/>
    </row>
    <row r="791" spans="4:6">
      <c r="D791" s="15"/>
      <c r="F791" s="11"/>
    </row>
    <row r="792" spans="4:6">
      <c r="D792" s="15"/>
      <c r="F792" s="11"/>
    </row>
    <row r="793" spans="4:6">
      <c r="D793" s="15"/>
      <c r="F793" s="11"/>
    </row>
    <row r="794" spans="4:6">
      <c r="D794" s="15"/>
      <c r="F794" s="11"/>
    </row>
    <row r="795" spans="4:6">
      <c r="D795" s="15"/>
      <c r="F795" s="11"/>
    </row>
    <row r="796" spans="4:6">
      <c r="D796" s="15"/>
      <c r="F796" s="11"/>
    </row>
    <row r="797" spans="4:6">
      <c r="D797" s="15"/>
      <c r="F797" s="11"/>
    </row>
    <row r="798" spans="4:6">
      <c r="D798" s="15"/>
      <c r="F798" s="11"/>
    </row>
    <row r="799" spans="4:6">
      <c r="D799" s="15"/>
      <c r="F799" s="11"/>
    </row>
    <row r="800" spans="4:6">
      <c r="D800" s="15"/>
      <c r="F800" s="11"/>
    </row>
    <row r="801" spans="4:6">
      <c r="D801" s="15"/>
      <c r="F801" s="11"/>
    </row>
    <row r="802" spans="4:6">
      <c r="D802" s="15"/>
      <c r="F802" s="11"/>
    </row>
    <row r="803" spans="4:6">
      <c r="D803" s="15"/>
      <c r="F803" s="11"/>
    </row>
    <row r="804" spans="4:6">
      <c r="D804" s="15"/>
      <c r="F804" s="11"/>
    </row>
    <row r="805" spans="4:6">
      <c r="D805" s="15"/>
      <c r="F805" s="11"/>
    </row>
    <row r="806" spans="4:6">
      <c r="D806" s="15"/>
      <c r="F806" s="11"/>
    </row>
    <row r="807" spans="4:6">
      <c r="D807" s="15"/>
      <c r="F807" s="11"/>
    </row>
    <row r="808" spans="4:6">
      <c r="D808" s="15"/>
      <c r="F808" s="11"/>
    </row>
    <row r="809" spans="4:6">
      <c r="D809" s="15"/>
      <c r="F809" s="11"/>
    </row>
    <row r="810" spans="4:6">
      <c r="D810" s="15"/>
      <c r="F810" s="11"/>
    </row>
    <row r="811" spans="4:6">
      <c r="D811" s="15"/>
      <c r="F811" s="11"/>
    </row>
    <row r="812" spans="4:6">
      <c r="D812" s="15"/>
      <c r="F812" s="11"/>
    </row>
    <row r="813" spans="4:6">
      <c r="D813" s="15"/>
      <c r="F813" s="11"/>
    </row>
    <row r="814" spans="4:6">
      <c r="D814" s="15"/>
      <c r="F814" s="11"/>
    </row>
    <row r="815" spans="4:6">
      <c r="D815" s="15"/>
      <c r="F815" s="11"/>
    </row>
    <row r="816" spans="4:6">
      <c r="D816" s="15"/>
      <c r="F816" s="11"/>
    </row>
    <row r="817" spans="4:6">
      <c r="D817" s="15"/>
      <c r="F817" s="11"/>
    </row>
    <row r="818" spans="4:6">
      <c r="D818" s="15"/>
      <c r="F818" s="11"/>
    </row>
    <row r="819" spans="4:6">
      <c r="D819" s="15"/>
      <c r="F819" s="11"/>
    </row>
    <row r="820" spans="4:6">
      <c r="D820" s="15"/>
      <c r="F820" s="11"/>
    </row>
    <row r="821" spans="4:6">
      <c r="D821" s="15"/>
      <c r="F821" s="11"/>
    </row>
    <row r="822" spans="4:6">
      <c r="D822" s="15"/>
      <c r="F822" s="11"/>
    </row>
    <row r="823" spans="4:6">
      <c r="D823" s="15"/>
      <c r="F823" s="11"/>
    </row>
    <row r="824" spans="4:6">
      <c r="D824" s="15"/>
      <c r="F824" s="11"/>
    </row>
    <row r="825" spans="4:6">
      <c r="D825" s="15"/>
      <c r="F825" s="11"/>
    </row>
    <row r="826" spans="4:6">
      <c r="D826" s="15"/>
      <c r="F826" s="11"/>
    </row>
    <row r="827" spans="4:6">
      <c r="D827" s="15"/>
      <c r="F827" s="11"/>
    </row>
    <row r="828" spans="4:6">
      <c r="D828" s="15"/>
      <c r="F828" s="11"/>
    </row>
    <row r="829" spans="4:6">
      <c r="D829" s="15"/>
      <c r="F829" s="11"/>
    </row>
    <row r="830" spans="4:6">
      <c r="D830" s="15"/>
      <c r="F830" s="11"/>
    </row>
    <row r="831" spans="4:6">
      <c r="D831" s="15"/>
      <c r="F831" s="11"/>
    </row>
    <row r="832" spans="4:6">
      <c r="D832" s="15"/>
      <c r="F832" s="11"/>
    </row>
    <row r="833" spans="4:6">
      <c r="D833" s="15"/>
      <c r="F833" s="11"/>
    </row>
    <row r="834" spans="4:6">
      <c r="D834" s="15"/>
      <c r="F834" s="11"/>
    </row>
    <row r="835" spans="4:6">
      <c r="D835" s="15"/>
      <c r="F835" s="11"/>
    </row>
    <row r="836" spans="4:6">
      <c r="D836" s="15"/>
      <c r="F836" s="11"/>
    </row>
    <row r="837" spans="4:6">
      <c r="D837" s="15"/>
      <c r="F837" s="11"/>
    </row>
    <row r="838" spans="4:6">
      <c r="D838" s="15"/>
      <c r="F838" s="11"/>
    </row>
    <row r="839" spans="4:6">
      <c r="D839" s="15"/>
      <c r="F839" s="11"/>
    </row>
    <row r="840" spans="4:6">
      <c r="D840" s="15"/>
      <c r="F840" s="11"/>
    </row>
    <row r="841" spans="4:6">
      <c r="D841" s="15"/>
      <c r="F841" s="11"/>
    </row>
    <row r="842" spans="4:6">
      <c r="D842" s="15"/>
      <c r="F842" s="11"/>
    </row>
    <row r="843" spans="4:6">
      <c r="D843" s="15"/>
      <c r="F843" s="11"/>
    </row>
    <row r="844" spans="4:6">
      <c r="D844" s="15"/>
      <c r="F844" s="11"/>
    </row>
    <row r="845" spans="4:6">
      <c r="D845" s="15"/>
      <c r="F845" s="11"/>
    </row>
    <row r="846" spans="4:6">
      <c r="D846" s="15"/>
      <c r="F846" s="11"/>
    </row>
    <row r="847" spans="4:6">
      <c r="D847" s="15"/>
      <c r="F847" s="11"/>
    </row>
    <row r="848" spans="4:6">
      <c r="D848" s="15"/>
      <c r="F848" s="11"/>
    </row>
    <row r="849" spans="4:6">
      <c r="D849" s="15"/>
      <c r="F849" s="11"/>
    </row>
    <row r="850" spans="4:6">
      <c r="D850" s="15"/>
      <c r="F850" s="11"/>
    </row>
    <row r="851" spans="4:6">
      <c r="D851" s="15"/>
      <c r="F851" s="11"/>
    </row>
    <row r="852" spans="4:6">
      <c r="D852" s="15"/>
      <c r="F852" s="11"/>
    </row>
    <row r="853" spans="4:6">
      <c r="D853" s="15"/>
      <c r="F853" s="11"/>
    </row>
    <row r="854" spans="4:6">
      <c r="D854" s="15"/>
      <c r="F854" s="11"/>
    </row>
    <row r="855" spans="4:6">
      <c r="D855" s="15"/>
      <c r="F855" s="11"/>
    </row>
    <row r="856" spans="4:6">
      <c r="D856" s="15"/>
      <c r="F856" s="11"/>
    </row>
    <row r="857" spans="4:6">
      <c r="D857" s="15"/>
      <c r="F857" s="11"/>
    </row>
    <row r="858" spans="4:6">
      <c r="D858" s="15"/>
      <c r="F858" s="11"/>
    </row>
    <row r="859" spans="4:6">
      <c r="D859" s="15"/>
      <c r="F859" s="11"/>
    </row>
    <row r="860" spans="4:6">
      <c r="D860" s="15"/>
      <c r="F860" s="11"/>
    </row>
    <row r="861" spans="4:6">
      <c r="D861" s="15"/>
      <c r="F861" s="11"/>
    </row>
    <row r="862" spans="4:6">
      <c r="D862" s="15"/>
      <c r="F862" s="11"/>
    </row>
    <row r="863" spans="4:6">
      <c r="D863" s="15"/>
      <c r="F863" s="11"/>
    </row>
    <row r="864" spans="4:6">
      <c r="D864" s="15"/>
      <c r="F864" s="11"/>
    </row>
    <row r="865" spans="4:6">
      <c r="D865" s="15"/>
      <c r="F865" s="11"/>
    </row>
    <row r="866" spans="4:6">
      <c r="D866" s="15"/>
      <c r="F866" s="11"/>
    </row>
    <row r="867" spans="4:6">
      <c r="D867" s="15"/>
      <c r="F867" s="11"/>
    </row>
    <row r="868" spans="4:6">
      <c r="D868" s="15"/>
      <c r="F868" s="11"/>
    </row>
    <row r="869" spans="4:6">
      <c r="D869" s="15"/>
      <c r="F869" s="11"/>
    </row>
    <row r="870" spans="4:6">
      <c r="D870" s="15"/>
      <c r="F870" s="11"/>
    </row>
    <row r="871" spans="4:6">
      <c r="D871" s="15"/>
      <c r="F871" s="11"/>
    </row>
    <row r="872" spans="4:6">
      <c r="D872" s="15"/>
      <c r="F872" s="11"/>
    </row>
    <row r="873" spans="4:6">
      <c r="D873" s="15"/>
      <c r="F873" s="11"/>
    </row>
    <row r="874" spans="4:6">
      <c r="D874" s="15"/>
      <c r="F874" s="11"/>
    </row>
    <row r="875" spans="4:6">
      <c r="D875" s="15"/>
      <c r="F875" s="11"/>
    </row>
    <row r="876" spans="4:6">
      <c r="D876" s="15"/>
      <c r="F876" s="11"/>
    </row>
    <row r="877" spans="4:6">
      <c r="D877" s="15"/>
      <c r="F877" s="11"/>
    </row>
    <row r="878" spans="4:6">
      <c r="D878" s="15"/>
      <c r="F878" s="11"/>
    </row>
    <row r="879" spans="4:6">
      <c r="D879" s="15"/>
      <c r="F879" s="11"/>
    </row>
    <row r="880" spans="4:6">
      <c r="D880" s="15"/>
      <c r="F880" s="11"/>
    </row>
    <row r="881" spans="4:6">
      <c r="D881" s="15"/>
      <c r="F881" s="11"/>
    </row>
    <row r="882" spans="4:6">
      <c r="D882" s="15"/>
      <c r="F882" s="11"/>
    </row>
    <row r="883" spans="4:6">
      <c r="D883" s="15"/>
      <c r="F883" s="11"/>
    </row>
    <row r="884" spans="4:6">
      <c r="D884" s="15"/>
      <c r="F884" s="11"/>
    </row>
    <row r="885" spans="4:6">
      <c r="D885" s="15"/>
      <c r="F885" s="11"/>
    </row>
    <row r="886" spans="4:6">
      <c r="D886" s="15"/>
      <c r="F886" s="11"/>
    </row>
    <row r="887" spans="4:6">
      <c r="D887" s="15"/>
      <c r="F887" s="11"/>
    </row>
    <row r="888" spans="4:6">
      <c r="D888" s="15"/>
      <c r="F888" s="11"/>
    </row>
    <row r="889" spans="4:6">
      <c r="D889" s="15"/>
      <c r="F889" s="11"/>
    </row>
    <row r="890" spans="4:6">
      <c r="D890" s="15"/>
      <c r="F890" s="11"/>
    </row>
    <row r="891" spans="4:6">
      <c r="D891" s="15"/>
      <c r="F891" s="11"/>
    </row>
    <row r="892" spans="4:6">
      <c r="D892" s="15"/>
      <c r="F892" s="11"/>
    </row>
    <row r="893" spans="4:6">
      <c r="D893" s="15"/>
      <c r="F893" s="11"/>
    </row>
    <row r="894" spans="4:6">
      <c r="D894" s="15"/>
      <c r="F894" s="11"/>
    </row>
    <row r="895" spans="4:6">
      <c r="D895" s="15"/>
      <c r="F895" s="11"/>
    </row>
    <row r="896" spans="4:6">
      <c r="D896" s="15"/>
      <c r="F896" s="11"/>
    </row>
    <row r="897" spans="4:6">
      <c r="D897" s="15"/>
      <c r="F897" s="11"/>
    </row>
    <row r="898" spans="4:6">
      <c r="D898" s="15"/>
      <c r="F898" s="11"/>
    </row>
    <row r="899" spans="4:6">
      <c r="D899" s="15"/>
      <c r="F899" s="11"/>
    </row>
    <row r="900" spans="4:6">
      <c r="D900" s="15"/>
      <c r="F900" s="11"/>
    </row>
    <row r="901" spans="4:6">
      <c r="D901" s="15"/>
      <c r="F901" s="11"/>
    </row>
    <row r="902" spans="4:6">
      <c r="D902" s="15"/>
      <c r="F902" s="11"/>
    </row>
    <row r="903" spans="4:6">
      <c r="D903" s="15"/>
      <c r="F903" s="11"/>
    </row>
    <row r="904" spans="4:6">
      <c r="D904" s="15"/>
      <c r="F904" s="11"/>
    </row>
    <row r="905" spans="4:6">
      <c r="D905" s="15"/>
      <c r="F905" s="11"/>
    </row>
    <row r="906" spans="4:6">
      <c r="D906" s="15"/>
      <c r="F906" s="11"/>
    </row>
    <row r="907" spans="4:6">
      <c r="D907" s="15"/>
      <c r="F907" s="11"/>
    </row>
    <row r="908" spans="4:6">
      <c r="D908" s="15"/>
      <c r="F908" s="11"/>
    </row>
    <row r="909" spans="4:6">
      <c r="D909" s="15"/>
      <c r="F909" s="11"/>
    </row>
    <row r="910" spans="4:6">
      <c r="D910" s="15"/>
      <c r="F910" s="11"/>
    </row>
    <row r="911" spans="4:6">
      <c r="D911" s="15"/>
      <c r="F911" s="11"/>
    </row>
    <row r="912" spans="4:6">
      <c r="D912" s="15"/>
      <c r="F912" s="11"/>
    </row>
    <row r="913" spans="4:6">
      <c r="D913" s="15"/>
      <c r="F913" s="11"/>
    </row>
    <row r="914" spans="4:6">
      <c r="D914" s="15"/>
      <c r="F914" s="11"/>
    </row>
    <row r="915" spans="4:6">
      <c r="D915" s="15"/>
      <c r="F915" s="11"/>
    </row>
    <row r="916" spans="4:6">
      <c r="D916" s="15"/>
      <c r="F916" s="11"/>
    </row>
    <row r="917" spans="4:6">
      <c r="D917" s="15"/>
      <c r="F917" s="11"/>
    </row>
    <row r="918" spans="4:6">
      <c r="D918" s="15"/>
      <c r="F918" s="11"/>
    </row>
    <row r="919" spans="4:6">
      <c r="D919" s="15"/>
      <c r="F919" s="11"/>
    </row>
    <row r="920" spans="4:6">
      <c r="D920" s="15"/>
      <c r="F920" s="11"/>
    </row>
    <row r="921" spans="4:6">
      <c r="D921" s="15"/>
      <c r="F921" s="11"/>
    </row>
    <row r="922" spans="4:6">
      <c r="D922" s="15"/>
      <c r="F922" s="11"/>
    </row>
    <row r="923" spans="4:6">
      <c r="D923" s="15"/>
      <c r="F923" s="11"/>
    </row>
    <row r="924" spans="4:6">
      <c r="D924" s="15"/>
      <c r="F924" s="11"/>
    </row>
    <row r="925" spans="4:6">
      <c r="D925" s="15"/>
      <c r="F925" s="11"/>
    </row>
    <row r="926" spans="4:6">
      <c r="D926" s="15"/>
      <c r="F926" s="11"/>
    </row>
    <row r="927" spans="4:6">
      <c r="D927" s="15"/>
      <c r="F927" s="11"/>
    </row>
    <row r="928" spans="4:6">
      <c r="D928" s="15"/>
      <c r="F928" s="11"/>
    </row>
    <row r="929" spans="4:6">
      <c r="D929" s="15"/>
      <c r="F929" s="11"/>
    </row>
    <row r="930" spans="4:6">
      <c r="D930" s="15"/>
      <c r="F930" s="11"/>
    </row>
    <row r="931" spans="4:6">
      <c r="D931" s="15"/>
      <c r="F931" s="11"/>
    </row>
    <row r="932" spans="4:6">
      <c r="D932" s="15"/>
      <c r="F932" s="11"/>
    </row>
    <row r="933" spans="4:6">
      <c r="D933" s="15"/>
      <c r="F933" s="11"/>
    </row>
    <row r="934" spans="4:6">
      <c r="D934" s="15"/>
      <c r="F934" s="11"/>
    </row>
    <row r="935" spans="4:6">
      <c r="D935" s="15"/>
      <c r="F935" s="11"/>
    </row>
    <row r="936" spans="4:6">
      <c r="D936" s="15"/>
      <c r="F936" s="11"/>
    </row>
    <row r="937" spans="4:6">
      <c r="D937" s="15"/>
      <c r="F937" s="11"/>
    </row>
    <row r="938" spans="4:6">
      <c r="D938" s="15"/>
      <c r="F938" s="11"/>
    </row>
    <row r="939" spans="4:6">
      <c r="D939" s="15"/>
      <c r="F939" s="11"/>
    </row>
    <row r="940" spans="4:6">
      <c r="D940" s="15"/>
      <c r="F940" s="11"/>
    </row>
    <row r="941" spans="4:6">
      <c r="D941" s="15"/>
      <c r="F941" s="11"/>
    </row>
    <row r="942" spans="4:6">
      <c r="D942" s="15"/>
      <c r="F942" s="11"/>
    </row>
    <row r="943" spans="4:6">
      <c r="D943" s="15"/>
      <c r="F943" s="11"/>
    </row>
    <row r="944" spans="4:6">
      <c r="D944" s="15"/>
      <c r="F944" s="11"/>
    </row>
    <row r="945" spans="4:6">
      <c r="D945" s="15"/>
      <c r="F945" s="11"/>
    </row>
    <row r="946" spans="4:6">
      <c r="D946" s="15"/>
      <c r="F946" s="11"/>
    </row>
    <row r="947" spans="4:6">
      <c r="D947" s="15"/>
      <c r="F947" s="11"/>
    </row>
    <row r="948" spans="4:6">
      <c r="D948" s="15"/>
      <c r="F948" s="11"/>
    </row>
    <row r="949" spans="4:6">
      <c r="D949" s="15"/>
      <c r="F949" s="11"/>
    </row>
    <row r="950" spans="4:6">
      <c r="D950" s="15"/>
      <c r="F950" s="11"/>
    </row>
    <row r="951" spans="4:6">
      <c r="D951" s="15"/>
      <c r="F951" s="11"/>
    </row>
    <row r="952" spans="4:6">
      <c r="D952" s="15"/>
      <c r="F952" s="11"/>
    </row>
    <row r="953" spans="4:6">
      <c r="D953" s="15"/>
      <c r="F953" s="11"/>
    </row>
    <row r="954" spans="4:6">
      <c r="D954" s="15"/>
      <c r="F954" s="11"/>
    </row>
    <row r="955" spans="4:6">
      <c r="D955" s="15"/>
      <c r="F955" s="11"/>
    </row>
    <row r="956" spans="4:6">
      <c r="D956" s="15"/>
      <c r="F956" s="11"/>
    </row>
    <row r="957" spans="4:6">
      <c r="D957" s="15"/>
      <c r="F957" s="11"/>
    </row>
    <row r="958" spans="4:6">
      <c r="D958" s="15"/>
      <c r="F958" s="11"/>
    </row>
    <row r="959" spans="4:6">
      <c r="D959" s="15"/>
      <c r="F959" s="11"/>
    </row>
    <row r="960" spans="4:6">
      <c r="D960" s="15"/>
      <c r="F960" s="11"/>
    </row>
    <row r="961" spans="4:6">
      <c r="D961" s="15"/>
      <c r="F961" s="11"/>
    </row>
    <row r="962" spans="4:6">
      <c r="D962" s="15"/>
      <c r="F962" s="11"/>
    </row>
    <row r="963" spans="4:6">
      <c r="D963" s="15"/>
      <c r="F963" s="11"/>
    </row>
    <row r="964" spans="4:6">
      <c r="D964" s="15"/>
      <c r="F964" s="11"/>
    </row>
    <row r="965" spans="4:6">
      <c r="D965" s="15"/>
      <c r="F965" s="11"/>
    </row>
    <row r="966" spans="4:6">
      <c r="D966" s="15"/>
      <c r="F966" s="11"/>
    </row>
    <row r="967" spans="4:6">
      <c r="D967" s="15"/>
      <c r="F967" s="11"/>
    </row>
    <row r="968" spans="4:6">
      <c r="D968" s="15"/>
      <c r="F968" s="11"/>
    </row>
    <row r="969" spans="4:6">
      <c r="D969" s="15"/>
      <c r="F969" s="11"/>
    </row>
    <row r="970" spans="4:6">
      <c r="D970" s="15"/>
      <c r="F970" s="11"/>
    </row>
    <row r="971" spans="4:6">
      <c r="D971" s="15"/>
      <c r="F971" s="11"/>
    </row>
    <row r="972" spans="4:6">
      <c r="D972" s="15"/>
      <c r="F972" s="11"/>
    </row>
    <row r="973" spans="4:6">
      <c r="D973" s="15"/>
      <c r="F973" s="11"/>
    </row>
    <row r="974" spans="4:6">
      <c r="D974" s="15"/>
      <c r="F974" s="11"/>
    </row>
    <row r="975" spans="4:6">
      <c r="D975" s="15"/>
      <c r="F975" s="11"/>
    </row>
    <row r="976" spans="4:6">
      <c r="D976" s="15"/>
      <c r="F976" s="11"/>
    </row>
    <row r="977" spans="4:6">
      <c r="D977" s="15"/>
      <c r="F977" s="11"/>
    </row>
    <row r="978" spans="4:6">
      <c r="D978" s="15"/>
      <c r="F978" s="11"/>
    </row>
    <row r="979" spans="4:6">
      <c r="D979" s="15"/>
      <c r="F979" s="11"/>
    </row>
    <row r="980" spans="4:6">
      <c r="D980" s="15"/>
      <c r="F980" s="11"/>
    </row>
    <row r="981" spans="4:6">
      <c r="D981" s="15"/>
      <c r="F981" s="11"/>
    </row>
    <row r="982" spans="4:6">
      <c r="D982" s="15"/>
      <c r="F982" s="11"/>
    </row>
    <row r="983" spans="4:6">
      <c r="D983" s="15"/>
      <c r="F983" s="11"/>
    </row>
    <row r="984" spans="4:6">
      <c r="D984" s="15"/>
      <c r="F984" s="11"/>
    </row>
    <row r="985" spans="4:6">
      <c r="D985" s="15"/>
      <c r="F985" s="11"/>
    </row>
    <row r="986" spans="4:6">
      <c r="D986" s="15"/>
      <c r="F986" s="11"/>
    </row>
    <row r="987" spans="4:6">
      <c r="D987" s="15"/>
      <c r="F987" s="11"/>
    </row>
    <row r="988" spans="4:6">
      <c r="D988" s="15"/>
      <c r="F988" s="11"/>
    </row>
    <row r="989" spans="4:6">
      <c r="D989" s="15"/>
      <c r="F989" s="11"/>
    </row>
    <row r="990" spans="4:6">
      <c r="D990" s="15"/>
      <c r="F990" s="11"/>
    </row>
    <row r="991" spans="4:6">
      <c r="D991" s="15"/>
      <c r="F991" s="11"/>
    </row>
    <row r="992" spans="4:6">
      <c r="D992" s="15"/>
      <c r="F992" s="11"/>
    </row>
    <row r="993" spans="4:6">
      <c r="D993" s="15"/>
      <c r="F993" s="11"/>
    </row>
    <row r="994" spans="4:6">
      <c r="D994" s="15"/>
      <c r="F994" s="11"/>
    </row>
    <row r="995" spans="4:6">
      <c r="D995" s="15"/>
      <c r="F995" s="11"/>
    </row>
    <row r="996" spans="4:6">
      <c r="D996" s="15"/>
      <c r="F996" s="11"/>
    </row>
    <row r="997" spans="4:6">
      <c r="D997" s="15"/>
      <c r="F997" s="11"/>
    </row>
    <row r="998" spans="4:6">
      <c r="D998" s="15"/>
      <c r="F998" s="11"/>
    </row>
    <row r="999" spans="4:6">
      <c r="D999" s="15"/>
      <c r="F999" s="11"/>
    </row>
    <row r="1000" spans="4:6">
      <c r="D1000" s="15"/>
      <c r="F1000" s="1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G4" sqref="G4"/>
    </sheetView>
  </sheetViews>
  <sheetFormatPr defaultColWidth="14.42578125" defaultRowHeight="15.75" customHeight="1"/>
  <sheetData>
    <row r="1" spans="1:6">
      <c r="A1" s="4" t="s">
        <v>0</v>
      </c>
      <c r="B1" s="4" t="s">
        <v>13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>
        <v>0.35569444444444442</v>
      </c>
      <c r="B2" s="4" t="s">
        <v>18</v>
      </c>
      <c r="C2" s="4" t="s">
        <v>7</v>
      </c>
      <c r="D2" s="12">
        <v>1722.4</v>
      </c>
      <c r="E2" s="12">
        <v>12</v>
      </c>
      <c r="F2" s="13">
        <f>IF(C2="Продажа",D2*E2,-D2*E2)</f>
        <v>20668.800000000003</v>
      </c>
    </row>
    <row r="3" spans="1:6">
      <c r="A3" s="7">
        <v>0.35568287037037039</v>
      </c>
      <c r="B3" s="4" t="s">
        <v>18</v>
      </c>
      <c r="C3" s="4" t="s">
        <v>7</v>
      </c>
      <c r="D3" s="12">
        <v>1722.4</v>
      </c>
      <c r="E3" s="12">
        <v>1</v>
      </c>
      <c r="F3" s="13">
        <f t="shared" ref="F2:F10" si="0">IF(C3="Продажа",D3*E3,-D3*E3)</f>
        <v>1722.4</v>
      </c>
    </row>
    <row r="4" spans="1:6">
      <c r="A4" s="7">
        <v>0.35348379629629628</v>
      </c>
      <c r="B4" s="4" t="s">
        <v>18</v>
      </c>
      <c r="C4" s="4" t="s">
        <v>8</v>
      </c>
      <c r="D4" s="12">
        <v>1723.8</v>
      </c>
      <c r="E4" s="12">
        <v>13</v>
      </c>
      <c r="F4" s="13">
        <f t="shared" si="0"/>
        <v>-22409.399999999998</v>
      </c>
    </row>
    <row r="5" spans="1:6">
      <c r="A5" s="7">
        <v>0.33587962962962964</v>
      </c>
      <c r="B5" s="4" t="s">
        <v>14</v>
      </c>
      <c r="C5" s="4" t="s">
        <v>8</v>
      </c>
      <c r="D5" s="12">
        <v>2.5630000000000002</v>
      </c>
      <c r="E5" s="12">
        <v>100</v>
      </c>
      <c r="F5" s="13">
        <f t="shared" si="0"/>
        <v>-256.3</v>
      </c>
    </row>
    <row r="6" spans="1:6">
      <c r="A6" s="7">
        <v>0.33111111111111113</v>
      </c>
      <c r="B6" s="4" t="s">
        <v>19</v>
      </c>
      <c r="C6" s="4" t="s">
        <v>7</v>
      </c>
      <c r="D6" s="12">
        <v>69.680000000000007</v>
      </c>
      <c r="E6" s="12">
        <v>36</v>
      </c>
      <c r="F6" s="13">
        <f t="shared" si="0"/>
        <v>2508.4800000000005</v>
      </c>
    </row>
    <row r="7" spans="1:6">
      <c r="A7" s="7">
        <v>0.33111111111111113</v>
      </c>
      <c r="B7" s="4" t="s">
        <v>19</v>
      </c>
      <c r="C7" s="4" t="s">
        <v>7</v>
      </c>
      <c r="D7" s="12">
        <v>69.680000000000007</v>
      </c>
      <c r="E7" s="12">
        <v>19</v>
      </c>
      <c r="F7" s="13">
        <f t="shared" si="0"/>
        <v>1323.92</v>
      </c>
    </row>
    <row r="8" spans="1:6">
      <c r="A8" s="7">
        <v>0.33111111111111113</v>
      </c>
      <c r="B8" s="4" t="s">
        <v>19</v>
      </c>
      <c r="C8" s="4" t="s">
        <v>7</v>
      </c>
      <c r="D8" s="12">
        <v>69.680000000000007</v>
      </c>
      <c r="E8" s="12">
        <v>11</v>
      </c>
      <c r="F8" s="13">
        <f t="shared" si="0"/>
        <v>766.48</v>
      </c>
    </row>
    <row r="9" spans="1:6">
      <c r="A9" s="7">
        <v>0.33111111111111113</v>
      </c>
      <c r="B9" s="4" t="s">
        <v>19</v>
      </c>
      <c r="C9" s="4" t="s">
        <v>7</v>
      </c>
      <c r="D9" s="12">
        <v>69.69</v>
      </c>
      <c r="E9" s="12">
        <v>10</v>
      </c>
      <c r="F9" s="13">
        <f t="shared" si="0"/>
        <v>696.9</v>
      </c>
    </row>
    <row r="10" spans="1:6">
      <c r="A10" s="7">
        <v>0.33046296296296296</v>
      </c>
      <c r="B10" s="4" t="s">
        <v>19</v>
      </c>
      <c r="C10" s="4" t="s">
        <v>8</v>
      </c>
      <c r="D10" s="12">
        <v>69.67</v>
      </c>
      <c r="E10" s="12">
        <v>76</v>
      </c>
      <c r="F10" s="13">
        <f t="shared" si="0"/>
        <v>-5294.92</v>
      </c>
    </row>
    <row r="11" spans="1:6">
      <c r="D11" s="15"/>
      <c r="F11" s="3">
        <f>AVERAGE(F2:F10)</f>
        <v>-30.404444444443772</v>
      </c>
    </row>
    <row r="12" spans="1:6">
      <c r="D12" s="15"/>
      <c r="F12" s="11"/>
    </row>
    <row r="13" spans="1:6">
      <c r="D13" s="15"/>
      <c r="F13" s="11"/>
    </row>
    <row r="14" spans="1:6">
      <c r="D14" s="15"/>
      <c r="F14" s="11"/>
    </row>
    <row r="15" spans="1:6">
      <c r="D15" s="15"/>
      <c r="F15" s="11"/>
    </row>
    <row r="16" spans="1:6">
      <c r="D16" s="15"/>
      <c r="F16" s="11"/>
    </row>
    <row r="17" spans="4:6">
      <c r="D17" s="15"/>
      <c r="F17" s="11"/>
    </row>
    <row r="18" spans="4:6">
      <c r="D18" s="15"/>
      <c r="F18" s="11"/>
    </row>
    <row r="19" spans="4:6">
      <c r="D19" s="15"/>
      <c r="F19" s="11"/>
    </row>
    <row r="20" spans="4:6">
      <c r="D20" s="15"/>
      <c r="F20" s="11"/>
    </row>
    <row r="21" spans="4:6">
      <c r="D21" s="15"/>
      <c r="F21" s="11"/>
    </row>
    <row r="22" spans="4:6">
      <c r="D22" s="15"/>
      <c r="F22" s="11"/>
    </row>
    <row r="23" spans="4:6">
      <c r="D23" s="15"/>
      <c r="F23" s="11"/>
    </row>
    <row r="24" spans="4:6">
      <c r="D24" s="15"/>
      <c r="F24" s="11"/>
    </row>
    <row r="25" spans="4:6">
      <c r="D25" s="15"/>
      <c r="F25" s="11"/>
    </row>
    <row r="26" spans="4:6">
      <c r="D26" s="15"/>
      <c r="F26" s="11"/>
    </row>
    <row r="27" spans="4:6">
      <c r="D27" s="15"/>
      <c r="F27" s="11"/>
    </row>
    <row r="28" spans="4:6">
      <c r="D28" s="15"/>
      <c r="F28" s="11"/>
    </row>
    <row r="29" spans="4:6">
      <c r="D29" s="15"/>
      <c r="F29" s="11"/>
    </row>
    <row r="30" spans="4:6">
      <c r="D30" s="15"/>
      <c r="F30" s="11"/>
    </row>
    <row r="31" spans="4:6">
      <c r="D31" s="15"/>
      <c r="F31" s="11"/>
    </row>
    <row r="32" spans="4:6">
      <c r="D32" s="15"/>
      <c r="F32" s="11"/>
    </row>
    <row r="33" spans="4:6">
      <c r="D33" s="15"/>
      <c r="F33" s="11"/>
    </row>
    <row r="34" spans="4:6">
      <c r="D34" s="15"/>
      <c r="F34" s="11"/>
    </row>
    <row r="35" spans="4:6">
      <c r="D35" s="15"/>
      <c r="F35" s="11"/>
    </row>
    <row r="36" spans="4:6">
      <c r="D36" s="15"/>
      <c r="F36" s="11"/>
    </row>
    <row r="37" spans="4:6">
      <c r="D37" s="15"/>
      <c r="F37" s="11"/>
    </row>
    <row r="38" spans="4:6">
      <c r="D38" s="15"/>
      <c r="F38" s="11"/>
    </row>
    <row r="39" spans="4:6">
      <c r="D39" s="15"/>
      <c r="F39" s="11"/>
    </row>
    <row r="40" spans="4:6">
      <c r="D40" s="15"/>
      <c r="F40" s="11"/>
    </row>
    <row r="41" spans="4:6">
      <c r="D41" s="15"/>
      <c r="F41" s="11"/>
    </row>
    <row r="42" spans="4:6">
      <c r="D42" s="15"/>
      <c r="F42" s="11"/>
    </row>
    <row r="43" spans="4:6">
      <c r="D43" s="15"/>
      <c r="F43" s="11"/>
    </row>
    <row r="44" spans="4:6">
      <c r="D44" s="15"/>
      <c r="F44" s="11"/>
    </row>
    <row r="45" spans="4:6">
      <c r="D45" s="15"/>
      <c r="F45" s="11"/>
    </row>
    <row r="46" spans="4:6">
      <c r="D46" s="15"/>
      <c r="F46" s="11"/>
    </row>
    <row r="47" spans="4:6">
      <c r="D47" s="15"/>
      <c r="F47" s="11"/>
    </row>
    <row r="48" spans="4:6">
      <c r="D48" s="15"/>
      <c r="F48" s="11"/>
    </row>
    <row r="49" spans="4:6">
      <c r="D49" s="15"/>
      <c r="F49" s="11"/>
    </row>
    <row r="50" spans="4:6">
      <c r="D50" s="15"/>
      <c r="F50" s="11"/>
    </row>
    <row r="51" spans="4:6">
      <c r="D51" s="15"/>
      <c r="F51" s="11"/>
    </row>
    <row r="52" spans="4:6">
      <c r="D52" s="15"/>
      <c r="F52" s="11"/>
    </row>
    <row r="53" spans="4:6">
      <c r="D53" s="15"/>
      <c r="F53" s="11"/>
    </row>
    <row r="54" spans="4:6">
      <c r="D54" s="15"/>
      <c r="F54" s="11"/>
    </row>
    <row r="55" spans="4:6">
      <c r="D55" s="15"/>
      <c r="F55" s="11"/>
    </row>
    <row r="56" spans="4:6">
      <c r="D56" s="15"/>
      <c r="F56" s="11"/>
    </row>
    <row r="57" spans="4:6">
      <c r="D57" s="15"/>
      <c r="F57" s="11"/>
    </row>
    <row r="58" spans="4:6">
      <c r="D58" s="15"/>
      <c r="F58" s="11"/>
    </row>
    <row r="59" spans="4:6">
      <c r="D59" s="15"/>
      <c r="F59" s="11"/>
    </row>
    <row r="60" spans="4:6">
      <c r="D60" s="15"/>
      <c r="F60" s="11"/>
    </row>
    <row r="61" spans="4:6">
      <c r="D61" s="15"/>
      <c r="F61" s="11"/>
    </row>
    <row r="62" spans="4:6">
      <c r="D62" s="15"/>
      <c r="F62" s="11"/>
    </row>
    <row r="63" spans="4:6">
      <c r="D63" s="15"/>
      <c r="F63" s="11"/>
    </row>
    <row r="64" spans="4:6">
      <c r="D64" s="15"/>
      <c r="F64" s="11"/>
    </row>
    <row r="65" spans="4:6">
      <c r="D65" s="15"/>
      <c r="F65" s="11"/>
    </row>
    <row r="66" spans="4:6">
      <c r="D66" s="15"/>
      <c r="F66" s="11"/>
    </row>
    <row r="67" spans="4:6">
      <c r="D67" s="15"/>
      <c r="F67" s="11"/>
    </row>
    <row r="68" spans="4:6">
      <c r="D68" s="15"/>
      <c r="F68" s="11"/>
    </row>
    <row r="69" spans="4:6">
      <c r="D69" s="15"/>
      <c r="F69" s="11"/>
    </row>
    <row r="70" spans="4:6">
      <c r="D70" s="15"/>
      <c r="F70" s="11"/>
    </row>
    <row r="71" spans="4:6">
      <c r="D71" s="15"/>
      <c r="F71" s="11"/>
    </row>
    <row r="72" spans="4:6">
      <c r="D72" s="15"/>
      <c r="F72" s="11"/>
    </row>
    <row r="73" spans="4:6">
      <c r="D73" s="15"/>
      <c r="F73" s="11"/>
    </row>
    <row r="74" spans="4:6">
      <c r="D74" s="15"/>
      <c r="F74" s="11"/>
    </row>
    <row r="75" spans="4:6">
      <c r="D75" s="15"/>
      <c r="F75" s="11"/>
    </row>
    <row r="76" spans="4:6">
      <c r="D76" s="15"/>
      <c r="F76" s="11"/>
    </row>
    <row r="77" spans="4:6">
      <c r="D77" s="15"/>
      <c r="F77" s="11"/>
    </row>
    <row r="78" spans="4:6">
      <c r="D78" s="15"/>
      <c r="F78" s="11"/>
    </row>
    <row r="79" spans="4:6">
      <c r="D79" s="15"/>
      <c r="F79" s="11"/>
    </row>
    <row r="80" spans="4:6">
      <c r="D80" s="15"/>
      <c r="F80" s="11"/>
    </row>
    <row r="81" spans="4:6">
      <c r="D81" s="15"/>
      <c r="F81" s="11"/>
    </row>
    <row r="82" spans="4:6">
      <c r="D82" s="15"/>
      <c r="F82" s="11"/>
    </row>
    <row r="83" spans="4:6">
      <c r="D83" s="15"/>
      <c r="F83" s="11"/>
    </row>
    <row r="84" spans="4:6">
      <c r="D84" s="15"/>
      <c r="F84" s="11"/>
    </row>
    <row r="85" spans="4:6">
      <c r="D85" s="15"/>
      <c r="F85" s="11"/>
    </row>
    <row r="86" spans="4:6">
      <c r="D86" s="15"/>
      <c r="F86" s="11"/>
    </row>
    <row r="87" spans="4:6">
      <c r="D87" s="15"/>
      <c r="F87" s="11"/>
    </row>
    <row r="88" spans="4:6">
      <c r="D88" s="15"/>
      <c r="F88" s="11"/>
    </row>
    <row r="89" spans="4:6">
      <c r="D89" s="15"/>
      <c r="F89" s="11"/>
    </row>
    <row r="90" spans="4:6">
      <c r="D90" s="15"/>
      <c r="F90" s="11"/>
    </row>
    <row r="91" spans="4:6">
      <c r="D91" s="15"/>
      <c r="F91" s="11"/>
    </row>
    <row r="92" spans="4:6">
      <c r="D92" s="15"/>
      <c r="F92" s="11"/>
    </row>
    <row r="93" spans="4:6">
      <c r="D93" s="15"/>
      <c r="F93" s="11"/>
    </row>
    <row r="94" spans="4:6">
      <c r="D94" s="15"/>
      <c r="F94" s="11"/>
    </row>
    <row r="95" spans="4:6">
      <c r="D95" s="15"/>
      <c r="F95" s="11"/>
    </row>
    <row r="96" spans="4:6">
      <c r="D96" s="15"/>
      <c r="F96" s="11"/>
    </row>
    <row r="97" spans="4:6">
      <c r="D97" s="15"/>
      <c r="F97" s="11"/>
    </row>
    <row r="98" spans="4:6">
      <c r="D98" s="15"/>
      <c r="F98" s="11"/>
    </row>
    <row r="99" spans="4:6">
      <c r="D99" s="15"/>
      <c r="F99" s="11"/>
    </row>
    <row r="100" spans="4:6">
      <c r="D100" s="15"/>
      <c r="F100" s="11"/>
    </row>
    <row r="101" spans="4:6">
      <c r="D101" s="15"/>
      <c r="F101" s="11"/>
    </row>
    <row r="102" spans="4:6">
      <c r="D102" s="15"/>
      <c r="F102" s="11"/>
    </row>
    <row r="103" spans="4:6">
      <c r="D103" s="15"/>
      <c r="F103" s="11"/>
    </row>
    <row r="104" spans="4:6">
      <c r="D104" s="15"/>
      <c r="F104" s="11"/>
    </row>
    <row r="105" spans="4:6">
      <c r="D105" s="15"/>
      <c r="F105" s="11"/>
    </row>
    <row r="106" spans="4:6">
      <c r="D106" s="15"/>
      <c r="F106" s="11"/>
    </row>
    <row r="107" spans="4:6">
      <c r="D107" s="15"/>
      <c r="F107" s="11"/>
    </row>
    <row r="108" spans="4:6">
      <c r="D108" s="15"/>
      <c r="F108" s="11"/>
    </row>
    <row r="109" spans="4:6">
      <c r="D109" s="15"/>
      <c r="F109" s="11"/>
    </row>
    <row r="110" spans="4:6">
      <c r="D110" s="15"/>
      <c r="F110" s="11"/>
    </row>
    <row r="111" spans="4:6">
      <c r="D111" s="15"/>
      <c r="F111" s="11"/>
    </row>
    <row r="112" spans="4:6">
      <c r="D112" s="15"/>
      <c r="F112" s="11"/>
    </row>
    <row r="113" spans="4:6">
      <c r="D113" s="15"/>
      <c r="F113" s="11"/>
    </row>
    <row r="114" spans="4:6">
      <c r="D114" s="15"/>
      <c r="F114" s="11"/>
    </row>
    <row r="115" spans="4:6">
      <c r="D115" s="15"/>
      <c r="F115" s="11"/>
    </row>
    <row r="116" spans="4:6">
      <c r="D116" s="15"/>
      <c r="F116" s="11"/>
    </row>
    <row r="117" spans="4:6">
      <c r="D117" s="15"/>
      <c r="F117" s="11"/>
    </row>
    <row r="118" spans="4:6">
      <c r="D118" s="15"/>
      <c r="F118" s="11"/>
    </row>
    <row r="119" spans="4:6">
      <c r="D119" s="15"/>
      <c r="F119" s="11"/>
    </row>
    <row r="120" spans="4:6">
      <c r="D120" s="15"/>
      <c r="F120" s="11"/>
    </row>
    <row r="121" spans="4:6">
      <c r="D121" s="15"/>
      <c r="F121" s="11"/>
    </row>
    <row r="122" spans="4:6">
      <c r="D122" s="15"/>
      <c r="F122" s="11"/>
    </row>
    <row r="123" spans="4:6">
      <c r="D123" s="15"/>
      <c r="F123" s="11"/>
    </row>
    <row r="124" spans="4:6">
      <c r="D124" s="15"/>
      <c r="F124" s="11"/>
    </row>
    <row r="125" spans="4:6">
      <c r="D125" s="15"/>
      <c r="F125" s="11"/>
    </row>
    <row r="126" spans="4:6">
      <c r="D126" s="15"/>
      <c r="F126" s="11"/>
    </row>
    <row r="127" spans="4:6">
      <c r="D127" s="15"/>
      <c r="F127" s="11"/>
    </row>
    <row r="128" spans="4:6">
      <c r="D128" s="15"/>
      <c r="F128" s="11"/>
    </row>
    <row r="129" spans="4:6">
      <c r="D129" s="15"/>
      <c r="F129" s="11"/>
    </row>
    <row r="130" spans="4:6">
      <c r="D130" s="15"/>
      <c r="F130" s="11"/>
    </row>
    <row r="131" spans="4:6">
      <c r="D131" s="15"/>
      <c r="F131" s="11"/>
    </row>
    <row r="132" spans="4:6">
      <c r="D132" s="15"/>
      <c r="F132" s="11"/>
    </row>
    <row r="133" spans="4:6">
      <c r="D133" s="15"/>
      <c r="F133" s="11"/>
    </row>
    <row r="134" spans="4:6">
      <c r="D134" s="15"/>
      <c r="F134" s="11"/>
    </row>
    <row r="135" spans="4:6">
      <c r="D135" s="15"/>
      <c r="F135" s="11"/>
    </row>
    <row r="136" spans="4:6">
      <c r="D136" s="15"/>
      <c r="F136" s="11"/>
    </row>
    <row r="137" spans="4:6">
      <c r="D137" s="15"/>
      <c r="F137" s="11"/>
    </row>
    <row r="138" spans="4:6">
      <c r="D138" s="15"/>
      <c r="F138" s="11"/>
    </row>
    <row r="139" spans="4:6">
      <c r="D139" s="15"/>
      <c r="F139" s="11"/>
    </row>
    <row r="140" spans="4:6">
      <c r="D140" s="15"/>
      <c r="F140" s="11"/>
    </row>
    <row r="141" spans="4:6">
      <c r="D141" s="15"/>
      <c r="F141" s="11"/>
    </row>
    <row r="142" spans="4:6">
      <c r="D142" s="15"/>
      <c r="F142" s="11"/>
    </row>
    <row r="143" spans="4:6">
      <c r="D143" s="15"/>
      <c r="F143" s="11"/>
    </row>
    <row r="144" spans="4:6">
      <c r="D144" s="15"/>
      <c r="F144" s="11"/>
    </row>
    <row r="145" spans="4:6">
      <c r="D145" s="15"/>
      <c r="F145" s="11"/>
    </row>
    <row r="146" spans="4:6">
      <c r="D146" s="15"/>
      <c r="F146" s="11"/>
    </row>
    <row r="147" spans="4:6">
      <c r="D147" s="15"/>
      <c r="F147" s="11"/>
    </row>
    <row r="148" spans="4:6">
      <c r="D148" s="15"/>
      <c r="F148" s="11"/>
    </row>
    <row r="149" spans="4:6">
      <c r="D149" s="15"/>
      <c r="F149" s="11"/>
    </row>
    <row r="150" spans="4:6">
      <c r="D150" s="15"/>
      <c r="F150" s="11"/>
    </row>
    <row r="151" spans="4:6">
      <c r="D151" s="15"/>
      <c r="F151" s="11"/>
    </row>
    <row r="152" spans="4:6">
      <c r="D152" s="15"/>
      <c r="F152" s="11"/>
    </row>
    <row r="153" spans="4:6">
      <c r="D153" s="15"/>
      <c r="F153" s="11"/>
    </row>
    <row r="154" spans="4:6">
      <c r="D154" s="15"/>
      <c r="F154" s="11"/>
    </row>
    <row r="155" spans="4:6">
      <c r="D155" s="15"/>
      <c r="F155" s="11"/>
    </row>
    <row r="156" spans="4:6">
      <c r="D156" s="15"/>
      <c r="F156" s="11"/>
    </row>
    <row r="157" spans="4:6">
      <c r="D157" s="15"/>
      <c r="F157" s="11"/>
    </row>
    <row r="158" spans="4:6">
      <c r="D158" s="15"/>
      <c r="F158" s="11"/>
    </row>
    <row r="159" spans="4:6">
      <c r="D159" s="15"/>
      <c r="F159" s="11"/>
    </row>
    <row r="160" spans="4:6">
      <c r="D160" s="15"/>
      <c r="F160" s="11"/>
    </row>
    <row r="161" spans="4:6">
      <c r="D161" s="15"/>
      <c r="F161" s="11"/>
    </row>
    <row r="162" spans="4:6">
      <c r="D162" s="15"/>
      <c r="F162" s="11"/>
    </row>
    <row r="163" spans="4:6">
      <c r="D163" s="15"/>
      <c r="F163" s="11"/>
    </row>
    <row r="164" spans="4:6">
      <c r="D164" s="15"/>
      <c r="F164" s="11"/>
    </row>
    <row r="165" spans="4:6">
      <c r="D165" s="15"/>
      <c r="F165" s="11"/>
    </row>
    <row r="166" spans="4:6">
      <c r="D166" s="15"/>
      <c r="F166" s="11"/>
    </row>
    <row r="167" spans="4:6">
      <c r="D167" s="15"/>
      <c r="F167" s="11"/>
    </row>
    <row r="168" spans="4:6">
      <c r="D168" s="15"/>
      <c r="F168" s="11"/>
    </row>
    <row r="169" spans="4:6">
      <c r="D169" s="15"/>
      <c r="F169" s="11"/>
    </row>
    <row r="170" spans="4:6">
      <c r="D170" s="15"/>
      <c r="F170" s="11"/>
    </row>
    <row r="171" spans="4:6">
      <c r="D171" s="15"/>
      <c r="F171" s="11"/>
    </row>
    <row r="172" spans="4:6">
      <c r="D172" s="15"/>
      <c r="F172" s="11"/>
    </row>
    <row r="173" spans="4:6">
      <c r="D173" s="15"/>
      <c r="F173" s="11"/>
    </row>
    <row r="174" spans="4:6">
      <c r="D174" s="15"/>
      <c r="F174" s="11"/>
    </row>
    <row r="175" spans="4:6">
      <c r="D175" s="15"/>
      <c r="F175" s="11"/>
    </row>
    <row r="176" spans="4:6">
      <c r="D176" s="15"/>
      <c r="F176" s="11"/>
    </row>
    <row r="177" spans="4:6">
      <c r="D177" s="15"/>
      <c r="F177" s="11"/>
    </row>
    <row r="178" spans="4:6">
      <c r="D178" s="15"/>
      <c r="F178" s="11"/>
    </row>
    <row r="179" spans="4:6">
      <c r="D179" s="15"/>
      <c r="F179" s="11"/>
    </row>
    <row r="180" spans="4:6">
      <c r="D180" s="15"/>
      <c r="F180" s="11"/>
    </row>
    <row r="181" spans="4:6">
      <c r="D181" s="15"/>
      <c r="F181" s="11"/>
    </row>
    <row r="182" spans="4:6">
      <c r="D182" s="15"/>
      <c r="F182" s="11"/>
    </row>
    <row r="183" spans="4:6">
      <c r="D183" s="15"/>
      <c r="F183" s="11"/>
    </row>
    <row r="184" spans="4:6">
      <c r="D184" s="15"/>
      <c r="F184" s="11"/>
    </row>
    <row r="185" spans="4:6">
      <c r="D185" s="15"/>
      <c r="F185" s="11"/>
    </row>
    <row r="186" spans="4:6">
      <c r="D186" s="15"/>
      <c r="F186" s="11"/>
    </row>
    <row r="187" spans="4:6">
      <c r="D187" s="15"/>
      <c r="F187" s="11"/>
    </row>
    <row r="188" spans="4:6">
      <c r="D188" s="15"/>
      <c r="F188" s="11"/>
    </row>
    <row r="189" spans="4:6">
      <c r="D189" s="15"/>
      <c r="F189" s="11"/>
    </row>
    <row r="190" spans="4:6">
      <c r="D190" s="15"/>
      <c r="F190" s="11"/>
    </row>
    <row r="191" spans="4:6">
      <c r="D191" s="15"/>
      <c r="F191" s="11"/>
    </row>
    <row r="192" spans="4:6">
      <c r="D192" s="15"/>
      <c r="F192" s="11"/>
    </row>
    <row r="193" spans="4:6">
      <c r="D193" s="15"/>
      <c r="F193" s="11"/>
    </row>
    <row r="194" spans="4:6">
      <c r="D194" s="15"/>
      <c r="F194" s="11"/>
    </row>
    <row r="195" spans="4:6">
      <c r="D195" s="15"/>
      <c r="F195" s="11"/>
    </row>
    <row r="196" spans="4:6">
      <c r="D196" s="15"/>
      <c r="F196" s="11"/>
    </row>
    <row r="197" spans="4:6">
      <c r="D197" s="15"/>
      <c r="F197" s="11"/>
    </row>
    <row r="198" spans="4:6">
      <c r="D198" s="15"/>
      <c r="F198" s="11"/>
    </row>
    <row r="199" spans="4:6">
      <c r="D199" s="15"/>
      <c r="F199" s="11"/>
    </row>
    <row r="200" spans="4:6">
      <c r="D200" s="15"/>
      <c r="F200" s="11"/>
    </row>
    <row r="201" spans="4:6">
      <c r="D201" s="15"/>
      <c r="F201" s="11"/>
    </row>
    <row r="202" spans="4:6">
      <c r="D202" s="15"/>
      <c r="F202" s="11"/>
    </row>
    <row r="203" spans="4:6">
      <c r="D203" s="15"/>
      <c r="F203" s="11"/>
    </row>
    <row r="204" spans="4:6">
      <c r="D204" s="15"/>
      <c r="F204" s="11"/>
    </row>
    <row r="205" spans="4:6">
      <c r="D205" s="15"/>
      <c r="F205" s="11"/>
    </row>
    <row r="206" spans="4:6">
      <c r="D206" s="15"/>
      <c r="F206" s="11"/>
    </row>
    <row r="207" spans="4:6">
      <c r="D207" s="15"/>
      <c r="F207" s="11"/>
    </row>
    <row r="208" spans="4:6">
      <c r="D208" s="15"/>
      <c r="F208" s="11"/>
    </row>
    <row r="209" spans="4:6">
      <c r="D209" s="15"/>
      <c r="F209" s="11"/>
    </row>
    <row r="210" spans="4:6">
      <c r="D210" s="15"/>
      <c r="F210" s="11"/>
    </row>
    <row r="211" spans="4:6">
      <c r="D211" s="15"/>
      <c r="F211" s="11"/>
    </row>
    <row r="212" spans="4:6">
      <c r="D212" s="15"/>
      <c r="F212" s="11"/>
    </row>
    <row r="213" spans="4:6">
      <c r="D213" s="15"/>
      <c r="F213" s="11"/>
    </row>
    <row r="214" spans="4:6">
      <c r="D214" s="15"/>
      <c r="F214" s="11"/>
    </row>
    <row r="215" spans="4:6">
      <c r="D215" s="15"/>
      <c r="F215" s="11"/>
    </row>
    <row r="216" spans="4:6">
      <c r="D216" s="15"/>
      <c r="F216" s="11"/>
    </row>
    <row r="217" spans="4:6">
      <c r="D217" s="15"/>
      <c r="F217" s="11"/>
    </row>
    <row r="218" spans="4:6">
      <c r="D218" s="15"/>
      <c r="F218" s="11"/>
    </row>
    <row r="219" spans="4:6">
      <c r="D219" s="15"/>
      <c r="F219" s="11"/>
    </row>
    <row r="220" spans="4:6">
      <c r="D220" s="15"/>
      <c r="F220" s="11"/>
    </row>
    <row r="221" spans="4:6">
      <c r="D221" s="15"/>
      <c r="F221" s="11"/>
    </row>
    <row r="222" spans="4:6">
      <c r="D222" s="15"/>
      <c r="F222" s="11"/>
    </row>
    <row r="223" spans="4:6">
      <c r="D223" s="15"/>
      <c r="F223" s="11"/>
    </row>
    <row r="224" spans="4:6">
      <c r="D224" s="15"/>
      <c r="F224" s="11"/>
    </row>
    <row r="225" spans="4:6">
      <c r="D225" s="15"/>
      <c r="F225" s="11"/>
    </row>
    <row r="226" spans="4:6">
      <c r="D226" s="15"/>
      <c r="F226" s="11"/>
    </row>
    <row r="227" spans="4:6">
      <c r="D227" s="15"/>
      <c r="F227" s="11"/>
    </row>
    <row r="228" spans="4:6">
      <c r="D228" s="15"/>
      <c r="F228" s="11"/>
    </row>
    <row r="229" spans="4:6">
      <c r="D229" s="15"/>
      <c r="F229" s="11"/>
    </row>
    <row r="230" spans="4:6">
      <c r="D230" s="15"/>
      <c r="F230" s="11"/>
    </row>
    <row r="231" spans="4:6">
      <c r="D231" s="15"/>
      <c r="F231" s="11"/>
    </row>
    <row r="232" spans="4:6">
      <c r="D232" s="15"/>
      <c r="F232" s="11"/>
    </row>
    <row r="233" spans="4:6">
      <c r="D233" s="15"/>
      <c r="F233" s="11"/>
    </row>
    <row r="234" spans="4:6">
      <c r="D234" s="15"/>
      <c r="F234" s="11"/>
    </row>
    <row r="235" spans="4:6">
      <c r="D235" s="15"/>
      <c r="F235" s="11"/>
    </row>
    <row r="236" spans="4:6">
      <c r="D236" s="15"/>
      <c r="F236" s="11"/>
    </row>
    <row r="237" spans="4:6">
      <c r="D237" s="15"/>
      <c r="F237" s="11"/>
    </row>
    <row r="238" spans="4:6">
      <c r="D238" s="15"/>
      <c r="F238" s="11"/>
    </row>
    <row r="239" spans="4:6">
      <c r="D239" s="15"/>
      <c r="F239" s="11"/>
    </row>
    <row r="240" spans="4:6">
      <c r="D240" s="15"/>
      <c r="F240" s="11"/>
    </row>
    <row r="241" spans="4:6">
      <c r="D241" s="15"/>
      <c r="F241" s="11"/>
    </row>
    <row r="242" spans="4:6">
      <c r="D242" s="15"/>
      <c r="F242" s="11"/>
    </row>
    <row r="243" spans="4:6">
      <c r="D243" s="15"/>
      <c r="F243" s="11"/>
    </row>
    <row r="244" spans="4:6">
      <c r="D244" s="15"/>
      <c r="F244" s="11"/>
    </row>
    <row r="245" spans="4:6">
      <c r="D245" s="15"/>
      <c r="F245" s="11"/>
    </row>
    <row r="246" spans="4:6">
      <c r="D246" s="15"/>
      <c r="F246" s="11"/>
    </row>
    <row r="247" spans="4:6">
      <c r="D247" s="15"/>
      <c r="F247" s="11"/>
    </row>
    <row r="248" spans="4:6">
      <c r="D248" s="15"/>
      <c r="F248" s="11"/>
    </row>
    <row r="249" spans="4:6">
      <c r="D249" s="15"/>
      <c r="F249" s="11"/>
    </row>
    <row r="250" spans="4:6">
      <c r="D250" s="15"/>
      <c r="F250" s="11"/>
    </row>
    <row r="251" spans="4:6">
      <c r="D251" s="15"/>
      <c r="F251" s="11"/>
    </row>
    <row r="252" spans="4:6">
      <c r="D252" s="15"/>
      <c r="F252" s="11"/>
    </row>
    <row r="253" spans="4:6">
      <c r="D253" s="15"/>
      <c r="F253" s="11"/>
    </row>
    <row r="254" spans="4:6">
      <c r="D254" s="15"/>
      <c r="F254" s="11"/>
    </row>
    <row r="255" spans="4:6">
      <c r="D255" s="15"/>
      <c r="F255" s="11"/>
    </row>
    <row r="256" spans="4:6">
      <c r="D256" s="15"/>
      <c r="F256" s="11"/>
    </row>
    <row r="257" spans="4:6">
      <c r="D257" s="15"/>
      <c r="F257" s="11"/>
    </row>
    <row r="258" spans="4:6">
      <c r="D258" s="15"/>
      <c r="F258" s="11"/>
    </row>
    <row r="259" spans="4:6">
      <c r="D259" s="15"/>
      <c r="F259" s="11"/>
    </row>
    <row r="260" spans="4:6">
      <c r="D260" s="15"/>
      <c r="F260" s="11"/>
    </row>
    <row r="261" spans="4:6">
      <c r="D261" s="15"/>
      <c r="F261" s="11"/>
    </row>
    <row r="262" spans="4:6">
      <c r="D262" s="15"/>
      <c r="F262" s="11"/>
    </row>
    <row r="263" spans="4:6">
      <c r="D263" s="15"/>
      <c r="F263" s="11"/>
    </row>
    <row r="264" spans="4:6">
      <c r="D264" s="15"/>
      <c r="F264" s="11"/>
    </row>
    <row r="265" spans="4:6">
      <c r="D265" s="15"/>
      <c r="F265" s="11"/>
    </row>
    <row r="266" spans="4:6">
      <c r="D266" s="15"/>
      <c r="F266" s="11"/>
    </row>
    <row r="267" spans="4:6">
      <c r="D267" s="15"/>
      <c r="F267" s="11"/>
    </row>
    <row r="268" spans="4:6">
      <c r="D268" s="15"/>
      <c r="F268" s="11"/>
    </row>
    <row r="269" spans="4:6">
      <c r="D269" s="15"/>
      <c r="F269" s="11"/>
    </row>
    <row r="270" spans="4:6">
      <c r="D270" s="15"/>
      <c r="F270" s="11"/>
    </row>
    <row r="271" spans="4:6">
      <c r="D271" s="15"/>
      <c r="F271" s="11"/>
    </row>
    <row r="272" spans="4:6">
      <c r="D272" s="15"/>
      <c r="F272" s="11"/>
    </row>
    <row r="273" spans="4:6">
      <c r="D273" s="15"/>
      <c r="F273" s="11"/>
    </row>
    <row r="274" spans="4:6">
      <c r="D274" s="15"/>
      <c r="F274" s="11"/>
    </row>
    <row r="275" spans="4:6">
      <c r="D275" s="15"/>
      <c r="F275" s="11"/>
    </row>
    <row r="276" spans="4:6">
      <c r="D276" s="15"/>
      <c r="F276" s="11"/>
    </row>
    <row r="277" spans="4:6">
      <c r="D277" s="15"/>
      <c r="F277" s="11"/>
    </row>
    <row r="278" spans="4:6">
      <c r="D278" s="15"/>
      <c r="F278" s="11"/>
    </row>
    <row r="279" spans="4:6">
      <c r="D279" s="15"/>
      <c r="F279" s="11"/>
    </row>
    <row r="280" spans="4:6">
      <c r="D280" s="15"/>
      <c r="F280" s="11"/>
    </row>
    <row r="281" spans="4:6">
      <c r="D281" s="15"/>
      <c r="F281" s="11"/>
    </row>
    <row r="282" spans="4:6">
      <c r="D282" s="15"/>
      <c r="F282" s="11"/>
    </row>
    <row r="283" spans="4:6">
      <c r="D283" s="15"/>
      <c r="F283" s="11"/>
    </row>
    <row r="284" spans="4:6">
      <c r="D284" s="15"/>
      <c r="F284" s="11"/>
    </row>
    <row r="285" spans="4:6">
      <c r="D285" s="15"/>
      <c r="F285" s="11"/>
    </row>
    <row r="286" spans="4:6">
      <c r="D286" s="15"/>
      <c r="F286" s="11"/>
    </row>
    <row r="287" spans="4:6">
      <c r="D287" s="15"/>
      <c r="F287" s="11"/>
    </row>
    <row r="288" spans="4:6">
      <c r="D288" s="15"/>
      <c r="F288" s="11"/>
    </row>
    <row r="289" spans="4:6">
      <c r="D289" s="15"/>
      <c r="F289" s="11"/>
    </row>
    <row r="290" spans="4:6">
      <c r="D290" s="15"/>
      <c r="F290" s="11"/>
    </row>
    <row r="291" spans="4:6">
      <c r="D291" s="15"/>
      <c r="F291" s="11"/>
    </row>
    <row r="292" spans="4:6">
      <c r="D292" s="15"/>
      <c r="F292" s="11"/>
    </row>
    <row r="293" spans="4:6">
      <c r="D293" s="15"/>
      <c r="F293" s="11"/>
    </row>
    <row r="294" spans="4:6">
      <c r="D294" s="15"/>
      <c r="F294" s="11"/>
    </row>
    <row r="295" spans="4:6">
      <c r="D295" s="15"/>
      <c r="F295" s="11"/>
    </row>
    <row r="296" spans="4:6">
      <c r="D296" s="15"/>
      <c r="F296" s="11"/>
    </row>
    <row r="297" spans="4:6">
      <c r="D297" s="15"/>
      <c r="F297" s="11"/>
    </row>
    <row r="298" spans="4:6">
      <c r="D298" s="15"/>
      <c r="F298" s="11"/>
    </row>
    <row r="299" spans="4:6">
      <c r="D299" s="15"/>
      <c r="F299" s="11"/>
    </row>
    <row r="300" spans="4:6">
      <c r="D300" s="15"/>
      <c r="F300" s="11"/>
    </row>
    <row r="301" spans="4:6">
      <c r="D301" s="15"/>
      <c r="F301" s="11"/>
    </row>
    <row r="302" spans="4:6">
      <c r="D302" s="15"/>
      <c r="F302" s="11"/>
    </row>
    <row r="303" spans="4:6">
      <c r="D303" s="15"/>
      <c r="F303" s="11"/>
    </row>
    <row r="304" spans="4:6">
      <c r="D304" s="15"/>
      <c r="F304" s="11"/>
    </row>
    <row r="305" spans="4:6">
      <c r="D305" s="15"/>
      <c r="F305" s="11"/>
    </row>
    <row r="306" spans="4:6">
      <c r="D306" s="15"/>
      <c r="F306" s="11"/>
    </row>
    <row r="307" spans="4:6">
      <c r="D307" s="15"/>
      <c r="F307" s="11"/>
    </row>
    <row r="308" spans="4:6">
      <c r="D308" s="15"/>
      <c r="F308" s="11"/>
    </row>
    <row r="309" spans="4:6">
      <c r="D309" s="15"/>
      <c r="F309" s="11"/>
    </row>
    <row r="310" spans="4:6">
      <c r="D310" s="15"/>
      <c r="F310" s="11"/>
    </row>
    <row r="311" spans="4:6">
      <c r="D311" s="15"/>
      <c r="F311" s="11"/>
    </row>
    <row r="312" spans="4:6">
      <c r="D312" s="15"/>
      <c r="F312" s="11"/>
    </row>
    <row r="313" spans="4:6">
      <c r="D313" s="15"/>
      <c r="F313" s="11"/>
    </row>
    <row r="314" spans="4:6">
      <c r="D314" s="15"/>
      <c r="F314" s="11"/>
    </row>
    <row r="315" spans="4:6">
      <c r="D315" s="15"/>
      <c r="F315" s="11"/>
    </row>
    <row r="316" spans="4:6">
      <c r="D316" s="15"/>
      <c r="F316" s="11"/>
    </row>
    <row r="317" spans="4:6">
      <c r="D317" s="15"/>
      <c r="F317" s="11"/>
    </row>
    <row r="318" spans="4:6">
      <c r="D318" s="15"/>
      <c r="F318" s="11"/>
    </row>
    <row r="319" spans="4:6">
      <c r="D319" s="15"/>
      <c r="F319" s="11"/>
    </row>
    <row r="320" spans="4:6">
      <c r="D320" s="15"/>
      <c r="F320" s="11"/>
    </row>
    <row r="321" spans="4:6">
      <c r="D321" s="15"/>
      <c r="F321" s="11"/>
    </row>
    <row r="322" spans="4:6">
      <c r="D322" s="15"/>
      <c r="F322" s="11"/>
    </row>
    <row r="323" spans="4:6">
      <c r="D323" s="15"/>
      <c r="F323" s="11"/>
    </row>
    <row r="324" spans="4:6">
      <c r="D324" s="15"/>
      <c r="F324" s="11"/>
    </row>
    <row r="325" spans="4:6">
      <c r="D325" s="15"/>
      <c r="F325" s="11"/>
    </row>
    <row r="326" spans="4:6">
      <c r="D326" s="15"/>
      <c r="F326" s="11"/>
    </row>
    <row r="327" spans="4:6">
      <c r="D327" s="15"/>
      <c r="F327" s="11"/>
    </row>
    <row r="328" spans="4:6">
      <c r="D328" s="15"/>
      <c r="F328" s="11"/>
    </row>
    <row r="329" spans="4:6">
      <c r="D329" s="15"/>
      <c r="F329" s="11"/>
    </row>
    <row r="330" spans="4:6">
      <c r="D330" s="15"/>
      <c r="F330" s="11"/>
    </row>
    <row r="331" spans="4:6">
      <c r="D331" s="15"/>
      <c r="F331" s="11"/>
    </row>
    <row r="332" spans="4:6">
      <c r="D332" s="15"/>
      <c r="F332" s="11"/>
    </row>
    <row r="333" spans="4:6">
      <c r="D333" s="15"/>
      <c r="F333" s="11"/>
    </row>
    <row r="334" spans="4:6">
      <c r="D334" s="15"/>
      <c r="F334" s="11"/>
    </row>
    <row r="335" spans="4:6">
      <c r="D335" s="15"/>
      <c r="F335" s="11"/>
    </row>
    <row r="336" spans="4:6">
      <c r="D336" s="15"/>
      <c r="F336" s="11"/>
    </row>
    <row r="337" spans="4:6">
      <c r="D337" s="15"/>
      <c r="F337" s="11"/>
    </row>
    <row r="338" spans="4:6">
      <c r="D338" s="15"/>
      <c r="F338" s="11"/>
    </row>
    <row r="339" spans="4:6">
      <c r="D339" s="15"/>
      <c r="F339" s="11"/>
    </row>
    <row r="340" spans="4:6">
      <c r="D340" s="15"/>
      <c r="F340" s="11"/>
    </row>
    <row r="341" spans="4:6">
      <c r="D341" s="15"/>
      <c r="F341" s="11"/>
    </row>
    <row r="342" spans="4:6">
      <c r="D342" s="15"/>
      <c r="F342" s="11"/>
    </row>
    <row r="343" spans="4:6">
      <c r="D343" s="15"/>
      <c r="F343" s="11"/>
    </row>
    <row r="344" spans="4:6">
      <c r="D344" s="15"/>
      <c r="F344" s="11"/>
    </row>
    <row r="345" spans="4:6">
      <c r="D345" s="15"/>
      <c r="F345" s="11"/>
    </row>
    <row r="346" spans="4:6">
      <c r="D346" s="15"/>
      <c r="F346" s="11"/>
    </row>
    <row r="347" spans="4:6">
      <c r="D347" s="15"/>
      <c r="F347" s="11"/>
    </row>
    <row r="348" spans="4:6">
      <c r="D348" s="15"/>
      <c r="F348" s="11"/>
    </row>
    <row r="349" spans="4:6">
      <c r="D349" s="15"/>
      <c r="F349" s="11"/>
    </row>
    <row r="350" spans="4:6">
      <c r="D350" s="15"/>
      <c r="F350" s="11"/>
    </row>
    <row r="351" spans="4:6">
      <c r="D351" s="15"/>
      <c r="F351" s="11"/>
    </row>
    <row r="352" spans="4:6">
      <c r="D352" s="15"/>
      <c r="F352" s="11"/>
    </row>
    <row r="353" spans="4:6">
      <c r="D353" s="15"/>
      <c r="F353" s="11"/>
    </row>
    <row r="354" spans="4:6">
      <c r="D354" s="15"/>
      <c r="F354" s="11"/>
    </row>
    <row r="355" spans="4:6">
      <c r="D355" s="15"/>
      <c r="F355" s="11"/>
    </row>
    <row r="356" spans="4:6">
      <c r="D356" s="15"/>
      <c r="F356" s="11"/>
    </row>
    <row r="357" spans="4:6">
      <c r="D357" s="15"/>
      <c r="F357" s="11"/>
    </row>
    <row r="358" spans="4:6">
      <c r="D358" s="15"/>
      <c r="F358" s="11"/>
    </row>
    <row r="359" spans="4:6">
      <c r="D359" s="15"/>
      <c r="F359" s="11"/>
    </row>
    <row r="360" spans="4:6">
      <c r="D360" s="15"/>
      <c r="F360" s="11"/>
    </row>
    <row r="361" spans="4:6">
      <c r="D361" s="15"/>
      <c r="F361" s="11"/>
    </row>
    <row r="362" spans="4:6">
      <c r="D362" s="15"/>
      <c r="F362" s="11"/>
    </row>
    <row r="363" spans="4:6">
      <c r="D363" s="15"/>
      <c r="F363" s="11"/>
    </row>
    <row r="364" spans="4:6">
      <c r="D364" s="15"/>
      <c r="F364" s="11"/>
    </row>
    <row r="365" spans="4:6">
      <c r="D365" s="15"/>
      <c r="F365" s="11"/>
    </row>
    <row r="366" spans="4:6">
      <c r="D366" s="15"/>
      <c r="F366" s="11"/>
    </row>
    <row r="367" spans="4:6">
      <c r="D367" s="15"/>
      <c r="F367" s="11"/>
    </row>
    <row r="368" spans="4:6">
      <c r="D368" s="15"/>
      <c r="F368" s="11"/>
    </row>
    <row r="369" spans="4:6">
      <c r="D369" s="15"/>
      <c r="F369" s="11"/>
    </row>
    <row r="370" spans="4:6">
      <c r="D370" s="15"/>
      <c r="F370" s="11"/>
    </row>
    <row r="371" spans="4:6">
      <c r="D371" s="15"/>
      <c r="F371" s="11"/>
    </row>
    <row r="372" spans="4:6">
      <c r="D372" s="15"/>
      <c r="F372" s="11"/>
    </row>
    <row r="373" spans="4:6">
      <c r="D373" s="15"/>
      <c r="F373" s="11"/>
    </row>
    <row r="374" spans="4:6">
      <c r="D374" s="15"/>
      <c r="F374" s="11"/>
    </row>
    <row r="375" spans="4:6">
      <c r="D375" s="15"/>
      <c r="F375" s="11"/>
    </row>
    <row r="376" spans="4:6">
      <c r="D376" s="15"/>
      <c r="F376" s="11"/>
    </row>
    <row r="377" spans="4:6">
      <c r="D377" s="15"/>
      <c r="F377" s="11"/>
    </row>
    <row r="378" spans="4:6">
      <c r="D378" s="15"/>
      <c r="F378" s="11"/>
    </row>
    <row r="379" spans="4:6">
      <c r="D379" s="15"/>
      <c r="F379" s="11"/>
    </row>
    <row r="380" spans="4:6">
      <c r="D380" s="15"/>
      <c r="F380" s="11"/>
    </row>
    <row r="381" spans="4:6">
      <c r="D381" s="15"/>
      <c r="F381" s="11"/>
    </row>
    <row r="382" spans="4:6">
      <c r="D382" s="15"/>
      <c r="F382" s="11"/>
    </row>
    <row r="383" spans="4:6">
      <c r="D383" s="15"/>
      <c r="F383" s="11"/>
    </row>
    <row r="384" spans="4:6">
      <c r="D384" s="15"/>
      <c r="F384" s="11"/>
    </row>
    <row r="385" spans="4:6">
      <c r="D385" s="15"/>
      <c r="F385" s="11"/>
    </row>
    <row r="386" spans="4:6">
      <c r="D386" s="15"/>
      <c r="F386" s="11"/>
    </row>
    <row r="387" spans="4:6">
      <c r="D387" s="15"/>
      <c r="F387" s="11"/>
    </row>
    <row r="388" spans="4:6">
      <c r="D388" s="15"/>
      <c r="F388" s="11"/>
    </row>
    <row r="389" spans="4:6">
      <c r="D389" s="15"/>
      <c r="F389" s="11"/>
    </row>
    <row r="390" spans="4:6">
      <c r="D390" s="15"/>
      <c r="F390" s="11"/>
    </row>
    <row r="391" spans="4:6">
      <c r="D391" s="15"/>
      <c r="F391" s="11"/>
    </row>
    <row r="392" spans="4:6">
      <c r="D392" s="15"/>
      <c r="F392" s="11"/>
    </row>
    <row r="393" spans="4:6">
      <c r="D393" s="15"/>
      <c r="F393" s="11"/>
    </row>
    <row r="394" spans="4:6">
      <c r="D394" s="15"/>
      <c r="F394" s="11"/>
    </row>
    <row r="395" spans="4:6">
      <c r="D395" s="15"/>
      <c r="F395" s="11"/>
    </row>
    <row r="396" spans="4:6">
      <c r="D396" s="15"/>
      <c r="F396" s="11"/>
    </row>
    <row r="397" spans="4:6">
      <c r="D397" s="15"/>
      <c r="F397" s="11"/>
    </row>
    <row r="398" spans="4:6">
      <c r="D398" s="15"/>
      <c r="F398" s="11"/>
    </row>
    <row r="399" spans="4:6">
      <c r="D399" s="15"/>
      <c r="F399" s="11"/>
    </row>
    <row r="400" spans="4:6">
      <c r="D400" s="15"/>
      <c r="F400" s="11"/>
    </row>
    <row r="401" spans="4:6">
      <c r="D401" s="15"/>
      <c r="F401" s="11"/>
    </row>
    <row r="402" spans="4:6">
      <c r="D402" s="15"/>
      <c r="F402" s="11"/>
    </row>
    <row r="403" spans="4:6">
      <c r="D403" s="15"/>
      <c r="F403" s="11"/>
    </row>
    <row r="404" spans="4:6">
      <c r="D404" s="15"/>
      <c r="F404" s="11"/>
    </row>
    <row r="405" spans="4:6">
      <c r="D405" s="15"/>
      <c r="F405" s="11"/>
    </row>
    <row r="406" spans="4:6">
      <c r="D406" s="15"/>
      <c r="F406" s="11"/>
    </row>
    <row r="407" spans="4:6">
      <c r="D407" s="15"/>
      <c r="F407" s="11"/>
    </row>
    <row r="408" spans="4:6">
      <c r="D408" s="15"/>
      <c r="F408" s="11"/>
    </row>
    <row r="409" spans="4:6">
      <c r="D409" s="15"/>
      <c r="F409" s="11"/>
    </row>
    <row r="410" spans="4:6">
      <c r="D410" s="15"/>
      <c r="F410" s="11"/>
    </row>
    <row r="411" spans="4:6">
      <c r="D411" s="15"/>
      <c r="F411" s="11"/>
    </row>
    <row r="412" spans="4:6">
      <c r="D412" s="15"/>
      <c r="F412" s="11"/>
    </row>
    <row r="413" spans="4:6">
      <c r="D413" s="15"/>
      <c r="F413" s="11"/>
    </row>
    <row r="414" spans="4:6">
      <c r="D414" s="15"/>
      <c r="F414" s="11"/>
    </row>
    <row r="415" spans="4:6">
      <c r="D415" s="15"/>
      <c r="F415" s="11"/>
    </row>
    <row r="416" spans="4:6">
      <c r="D416" s="15"/>
      <c r="F416" s="11"/>
    </row>
    <row r="417" spans="4:6">
      <c r="D417" s="15"/>
      <c r="F417" s="11"/>
    </row>
    <row r="418" spans="4:6">
      <c r="D418" s="15"/>
      <c r="F418" s="11"/>
    </row>
    <row r="419" spans="4:6">
      <c r="D419" s="15"/>
      <c r="F419" s="11"/>
    </row>
    <row r="420" spans="4:6">
      <c r="D420" s="15"/>
      <c r="F420" s="11"/>
    </row>
    <row r="421" spans="4:6">
      <c r="D421" s="15"/>
      <c r="F421" s="11"/>
    </row>
    <row r="422" spans="4:6">
      <c r="D422" s="15"/>
      <c r="F422" s="11"/>
    </row>
    <row r="423" spans="4:6">
      <c r="D423" s="15"/>
      <c r="F423" s="11"/>
    </row>
    <row r="424" spans="4:6">
      <c r="D424" s="15"/>
      <c r="F424" s="11"/>
    </row>
    <row r="425" spans="4:6">
      <c r="D425" s="15"/>
      <c r="F425" s="11"/>
    </row>
    <row r="426" spans="4:6">
      <c r="D426" s="15"/>
      <c r="F426" s="11"/>
    </row>
    <row r="427" spans="4:6">
      <c r="D427" s="15"/>
      <c r="F427" s="11"/>
    </row>
    <row r="428" spans="4:6">
      <c r="D428" s="15"/>
      <c r="F428" s="11"/>
    </row>
    <row r="429" spans="4:6">
      <c r="D429" s="15"/>
      <c r="F429" s="11"/>
    </row>
    <row r="430" spans="4:6">
      <c r="D430" s="15"/>
      <c r="F430" s="11"/>
    </row>
    <row r="431" spans="4:6">
      <c r="D431" s="15"/>
      <c r="F431" s="11"/>
    </row>
    <row r="432" spans="4:6">
      <c r="D432" s="15"/>
      <c r="F432" s="11"/>
    </row>
    <row r="433" spans="4:6">
      <c r="D433" s="15"/>
      <c r="F433" s="11"/>
    </row>
    <row r="434" spans="4:6">
      <c r="D434" s="15"/>
      <c r="F434" s="11"/>
    </row>
    <row r="435" spans="4:6">
      <c r="D435" s="15"/>
      <c r="F435" s="11"/>
    </row>
    <row r="436" spans="4:6">
      <c r="D436" s="15"/>
      <c r="F436" s="11"/>
    </row>
    <row r="437" spans="4:6">
      <c r="D437" s="15"/>
      <c r="F437" s="11"/>
    </row>
    <row r="438" spans="4:6">
      <c r="D438" s="15"/>
      <c r="F438" s="11"/>
    </row>
    <row r="439" spans="4:6">
      <c r="D439" s="15"/>
      <c r="F439" s="11"/>
    </row>
    <row r="440" spans="4:6">
      <c r="D440" s="15"/>
      <c r="F440" s="11"/>
    </row>
    <row r="441" spans="4:6">
      <c r="D441" s="15"/>
      <c r="F441" s="11"/>
    </row>
    <row r="442" spans="4:6">
      <c r="D442" s="15"/>
      <c r="F442" s="11"/>
    </row>
    <row r="443" spans="4:6">
      <c r="D443" s="15"/>
      <c r="F443" s="11"/>
    </row>
    <row r="444" spans="4:6">
      <c r="D444" s="15"/>
      <c r="F444" s="11"/>
    </row>
    <row r="445" spans="4:6">
      <c r="D445" s="15"/>
      <c r="F445" s="11"/>
    </row>
    <row r="446" spans="4:6">
      <c r="D446" s="15"/>
      <c r="F446" s="11"/>
    </row>
    <row r="447" spans="4:6">
      <c r="D447" s="15"/>
      <c r="F447" s="11"/>
    </row>
    <row r="448" spans="4:6">
      <c r="D448" s="15"/>
      <c r="F448" s="11"/>
    </row>
    <row r="449" spans="4:6">
      <c r="D449" s="15"/>
      <c r="F449" s="11"/>
    </row>
    <row r="450" spans="4:6">
      <c r="D450" s="15"/>
      <c r="F450" s="11"/>
    </row>
    <row r="451" spans="4:6">
      <c r="D451" s="15"/>
      <c r="F451" s="11"/>
    </row>
    <row r="452" spans="4:6">
      <c r="D452" s="15"/>
      <c r="F452" s="11"/>
    </row>
    <row r="453" spans="4:6">
      <c r="D453" s="15"/>
      <c r="F453" s="11"/>
    </row>
    <row r="454" spans="4:6">
      <c r="D454" s="15"/>
      <c r="F454" s="11"/>
    </row>
    <row r="455" spans="4:6">
      <c r="D455" s="15"/>
      <c r="F455" s="11"/>
    </row>
    <row r="456" spans="4:6">
      <c r="D456" s="15"/>
      <c r="F456" s="11"/>
    </row>
    <row r="457" spans="4:6">
      <c r="D457" s="15"/>
      <c r="F457" s="11"/>
    </row>
    <row r="458" spans="4:6">
      <c r="D458" s="15"/>
      <c r="F458" s="11"/>
    </row>
    <row r="459" spans="4:6">
      <c r="D459" s="15"/>
      <c r="F459" s="11"/>
    </row>
    <row r="460" spans="4:6">
      <c r="D460" s="15"/>
      <c r="F460" s="11"/>
    </row>
    <row r="461" spans="4:6">
      <c r="D461" s="15"/>
      <c r="F461" s="11"/>
    </row>
    <row r="462" spans="4:6">
      <c r="D462" s="15"/>
      <c r="F462" s="11"/>
    </row>
    <row r="463" spans="4:6">
      <c r="D463" s="15"/>
      <c r="F463" s="11"/>
    </row>
    <row r="464" spans="4:6">
      <c r="D464" s="15"/>
      <c r="F464" s="11"/>
    </row>
    <row r="465" spans="4:6">
      <c r="D465" s="15"/>
      <c r="F465" s="11"/>
    </row>
    <row r="466" spans="4:6">
      <c r="D466" s="15"/>
      <c r="F466" s="11"/>
    </row>
    <row r="467" spans="4:6">
      <c r="D467" s="15"/>
      <c r="F467" s="11"/>
    </row>
    <row r="468" spans="4:6">
      <c r="D468" s="15"/>
      <c r="F468" s="11"/>
    </row>
    <row r="469" spans="4:6">
      <c r="D469" s="15"/>
      <c r="F469" s="11"/>
    </row>
    <row r="470" spans="4:6">
      <c r="D470" s="15"/>
      <c r="F470" s="11"/>
    </row>
    <row r="471" spans="4:6">
      <c r="D471" s="15"/>
      <c r="F471" s="11"/>
    </row>
    <row r="472" spans="4:6">
      <c r="D472" s="15"/>
      <c r="F472" s="11"/>
    </row>
    <row r="473" spans="4:6">
      <c r="D473" s="15"/>
      <c r="F473" s="11"/>
    </row>
    <row r="474" spans="4:6">
      <c r="D474" s="15"/>
      <c r="F474" s="11"/>
    </row>
    <row r="475" spans="4:6">
      <c r="D475" s="15"/>
      <c r="F475" s="11"/>
    </row>
    <row r="476" spans="4:6">
      <c r="D476" s="15"/>
      <c r="F476" s="11"/>
    </row>
    <row r="477" spans="4:6">
      <c r="D477" s="15"/>
      <c r="F477" s="11"/>
    </row>
    <row r="478" spans="4:6">
      <c r="D478" s="15"/>
      <c r="F478" s="11"/>
    </row>
    <row r="479" spans="4:6">
      <c r="D479" s="15"/>
      <c r="F479" s="11"/>
    </row>
    <row r="480" spans="4:6">
      <c r="D480" s="15"/>
      <c r="F480" s="11"/>
    </row>
    <row r="481" spans="4:6">
      <c r="D481" s="15"/>
      <c r="F481" s="11"/>
    </row>
    <row r="482" spans="4:6">
      <c r="D482" s="15"/>
      <c r="F482" s="11"/>
    </row>
    <row r="483" spans="4:6">
      <c r="D483" s="15"/>
      <c r="F483" s="11"/>
    </row>
    <row r="484" spans="4:6">
      <c r="D484" s="15"/>
      <c r="F484" s="11"/>
    </row>
    <row r="485" spans="4:6">
      <c r="D485" s="15"/>
      <c r="F485" s="11"/>
    </row>
    <row r="486" spans="4:6">
      <c r="D486" s="15"/>
      <c r="F486" s="11"/>
    </row>
    <row r="487" spans="4:6">
      <c r="D487" s="15"/>
      <c r="F487" s="11"/>
    </row>
    <row r="488" spans="4:6">
      <c r="D488" s="15"/>
      <c r="F488" s="11"/>
    </row>
    <row r="489" spans="4:6">
      <c r="D489" s="15"/>
      <c r="F489" s="11"/>
    </row>
    <row r="490" spans="4:6">
      <c r="D490" s="15"/>
      <c r="F490" s="11"/>
    </row>
    <row r="491" spans="4:6">
      <c r="D491" s="15"/>
      <c r="F491" s="11"/>
    </row>
    <row r="492" spans="4:6">
      <c r="D492" s="15"/>
      <c r="F492" s="11"/>
    </row>
    <row r="493" spans="4:6">
      <c r="D493" s="15"/>
      <c r="F493" s="11"/>
    </row>
    <row r="494" spans="4:6">
      <c r="D494" s="15"/>
      <c r="F494" s="11"/>
    </row>
    <row r="495" spans="4:6">
      <c r="D495" s="15"/>
      <c r="F495" s="11"/>
    </row>
    <row r="496" spans="4:6">
      <c r="D496" s="15"/>
      <c r="F496" s="11"/>
    </row>
    <row r="497" spans="4:6">
      <c r="D497" s="15"/>
      <c r="F497" s="11"/>
    </row>
    <row r="498" spans="4:6">
      <c r="D498" s="15"/>
      <c r="F498" s="11"/>
    </row>
    <row r="499" spans="4:6">
      <c r="D499" s="15"/>
      <c r="F499" s="11"/>
    </row>
    <row r="500" spans="4:6">
      <c r="D500" s="15"/>
      <c r="F500" s="11"/>
    </row>
    <row r="501" spans="4:6">
      <c r="D501" s="15"/>
      <c r="F501" s="11"/>
    </row>
    <row r="502" spans="4:6">
      <c r="D502" s="15"/>
      <c r="F502" s="11"/>
    </row>
    <row r="503" spans="4:6">
      <c r="D503" s="15"/>
      <c r="F503" s="11"/>
    </row>
    <row r="504" spans="4:6">
      <c r="D504" s="15"/>
      <c r="F504" s="11"/>
    </row>
    <row r="505" spans="4:6">
      <c r="D505" s="15"/>
      <c r="F505" s="11"/>
    </row>
    <row r="506" spans="4:6">
      <c r="D506" s="15"/>
      <c r="F506" s="11"/>
    </row>
    <row r="507" spans="4:6">
      <c r="D507" s="15"/>
      <c r="F507" s="11"/>
    </row>
    <row r="508" spans="4:6">
      <c r="D508" s="15"/>
      <c r="F508" s="11"/>
    </row>
    <row r="509" spans="4:6">
      <c r="D509" s="15"/>
      <c r="F509" s="11"/>
    </row>
    <row r="510" spans="4:6">
      <c r="D510" s="15"/>
      <c r="F510" s="11"/>
    </row>
    <row r="511" spans="4:6">
      <c r="D511" s="15"/>
      <c r="F511" s="11"/>
    </row>
    <row r="512" spans="4:6">
      <c r="D512" s="15"/>
      <c r="F512" s="11"/>
    </row>
    <row r="513" spans="4:6">
      <c r="D513" s="15"/>
      <c r="F513" s="11"/>
    </row>
    <row r="514" spans="4:6">
      <c r="D514" s="15"/>
      <c r="F514" s="11"/>
    </row>
    <row r="515" spans="4:6">
      <c r="D515" s="15"/>
      <c r="F515" s="11"/>
    </row>
    <row r="516" spans="4:6">
      <c r="D516" s="15"/>
      <c r="F516" s="11"/>
    </row>
    <row r="517" spans="4:6">
      <c r="D517" s="15"/>
      <c r="F517" s="11"/>
    </row>
    <row r="518" spans="4:6">
      <c r="D518" s="15"/>
      <c r="F518" s="11"/>
    </row>
    <row r="519" spans="4:6">
      <c r="D519" s="15"/>
      <c r="F519" s="11"/>
    </row>
    <row r="520" spans="4:6">
      <c r="D520" s="15"/>
      <c r="F520" s="11"/>
    </row>
    <row r="521" spans="4:6">
      <c r="D521" s="15"/>
      <c r="F521" s="11"/>
    </row>
    <row r="522" spans="4:6">
      <c r="D522" s="15"/>
      <c r="F522" s="11"/>
    </row>
    <row r="523" spans="4:6">
      <c r="D523" s="15"/>
      <c r="F523" s="11"/>
    </row>
    <row r="524" spans="4:6">
      <c r="D524" s="15"/>
      <c r="F524" s="11"/>
    </row>
    <row r="525" spans="4:6">
      <c r="D525" s="15"/>
      <c r="F525" s="11"/>
    </row>
    <row r="526" spans="4:6">
      <c r="D526" s="15"/>
      <c r="F526" s="11"/>
    </row>
    <row r="527" spans="4:6">
      <c r="D527" s="15"/>
      <c r="F527" s="11"/>
    </row>
    <row r="528" spans="4:6">
      <c r="D528" s="15"/>
      <c r="F528" s="11"/>
    </row>
    <row r="529" spans="4:6">
      <c r="D529" s="15"/>
      <c r="F529" s="11"/>
    </row>
    <row r="530" spans="4:6">
      <c r="D530" s="15"/>
      <c r="F530" s="11"/>
    </row>
    <row r="531" spans="4:6">
      <c r="D531" s="15"/>
      <c r="F531" s="11"/>
    </row>
    <row r="532" spans="4:6">
      <c r="D532" s="15"/>
      <c r="F532" s="11"/>
    </row>
    <row r="533" spans="4:6">
      <c r="D533" s="15"/>
      <c r="F533" s="11"/>
    </row>
    <row r="534" spans="4:6">
      <c r="D534" s="15"/>
      <c r="F534" s="11"/>
    </row>
    <row r="535" spans="4:6">
      <c r="D535" s="15"/>
      <c r="F535" s="11"/>
    </row>
    <row r="536" spans="4:6">
      <c r="D536" s="15"/>
      <c r="F536" s="11"/>
    </row>
    <row r="537" spans="4:6">
      <c r="D537" s="15"/>
      <c r="F537" s="11"/>
    </row>
    <row r="538" spans="4:6">
      <c r="D538" s="15"/>
      <c r="F538" s="11"/>
    </row>
    <row r="539" spans="4:6">
      <c r="D539" s="15"/>
      <c r="F539" s="11"/>
    </row>
    <row r="540" spans="4:6">
      <c r="D540" s="15"/>
      <c r="F540" s="11"/>
    </row>
    <row r="541" spans="4:6">
      <c r="D541" s="15"/>
      <c r="F541" s="11"/>
    </row>
    <row r="542" spans="4:6">
      <c r="D542" s="15"/>
      <c r="F542" s="11"/>
    </row>
    <row r="543" spans="4:6">
      <c r="D543" s="15"/>
      <c r="F543" s="11"/>
    </row>
    <row r="544" spans="4:6">
      <c r="D544" s="15"/>
      <c r="F544" s="11"/>
    </row>
    <row r="545" spans="4:6">
      <c r="D545" s="15"/>
      <c r="F545" s="11"/>
    </row>
    <row r="546" spans="4:6">
      <c r="D546" s="15"/>
      <c r="F546" s="11"/>
    </row>
    <row r="547" spans="4:6">
      <c r="D547" s="15"/>
      <c r="F547" s="11"/>
    </row>
    <row r="548" spans="4:6">
      <c r="D548" s="15"/>
      <c r="F548" s="11"/>
    </row>
    <row r="549" spans="4:6">
      <c r="D549" s="15"/>
      <c r="F549" s="11"/>
    </row>
    <row r="550" spans="4:6">
      <c r="D550" s="15"/>
      <c r="F550" s="11"/>
    </row>
    <row r="551" spans="4:6">
      <c r="D551" s="15"/>
      <c r="F551" s="11"/>
    </row>
    <row r="552" spans="4:6">
      <c r="D552" s="15"/>
      <c r="F552" s="11"/>
    </row>
    <row r="553" spans="4:6">
      <c r="D553" s="15"/>
      <c r="F553" s="11"/>
    </row>
    <row r="554" spans="4:6">
      <c r="D554" s="15"/>
      <c r="F554" s="11"/>
    </row>
    <row r="555" spans="4:6">
      <c r="D555" s="15"/>
      <c r="F555" s="11"/>
    </row>
    <row r="556" spans="4:6">
      <c r="D556" s="15"/>
      <c r="F556" s="11"/>
    </row>
    <row r="557" spans="4:6">
      <c r="D557" s="15"/>
      <c r="F557" s="11"/>
    </row>
    <row r="558" spans="4:6">
      <c r="D558" s="15"/>
      <c r="F558" s="11"/>
    </row>
    <row r="559" spans="4:6">
      <c r="D559" s="15"/>
      <c r="F559" s="11"/>
    </row>
    <row r="560" spans="4:6">
      <c r="D560" s="15"/>
      <c r="F560" s="11"/>
    </row>
    <row r="561" spans="4:6">
      <c r="D561" s="15"/>
      <c r="F561" s="11"/>
    </row>
    <row r="562" spans="4:6">
      <c r="D562" s="15"/>
      <c r="F562" s="11"/>
    </row>
    <row r="563" spans="4:6">
      <c r="D563" s="15"/>
      <c r="F563" s="11"/>
    </row>
    <row r="564" spans="4:6">
      <c r="D564" s="15"/>
      <c r="F564" s="11"/>
    </row>
    <row r="565" spans="4:6">
      <c r="D565" s="15"/>
      <c r="F565" s="11"/>
    </row>
    <row r="566" spans="4:6">
      <c r="D566" s="15"/>
      <c r="F566" s="11"/>
    </row>
    <row r="567" spans="4:6">
      <c r="D567" s="15"/>
      <c r="F567" s="11"/>
    </row>
    <row r="568" spans="4:6">
      <c r="D568" s="15"/>
      <c r="F568" s="11"/>
    </row>
    <row r="569" spans="4:6">
      <c r="D569" s="15"/>
      <c r="F569" s="11"/>
    </row>
    <row r="570" spans="4:6">
      <c r="D570" s="15"/>
      <c r="F570" s="11"/>
    </row>
    <row r="571" spans="4:6">
      <c r="D571" s="15"/>
      <c r="F571" s="11"/>
    </row>
    <row r="572" spans="4:6">
      <c r="D572" s="15"/>
      <c r="F572" s="11"/>
    </row>
    <row r="573" spans="4:6">
      <c r="D573" s="15"/>
      <c r="F573" s="11"/>
    </row>
    <row r="574" spans="4:6">
      <c r="D574" s="15"/>
      <c r="F574" s="11"/>
    </row>
    <row r="575" spans="4:6">
      <c r="D575" s="15"/>
      <c r="F575" s="11"/>
    </row>
    <row r="576" spans="4:6">
      <c r="D576" s="15"/>
      <c r="F576" s="11"/>
    </row>
    <row r="577" spans="4:6">
      <c r="D577" s="15"/>
      <c r="F577" s="11"/>
    </row>
    <row r="578" spans="4:6">
      <c r="D578" s="15"/>
      <c r="F578" s="11"/>
    </row>
    <row r="579" spans="4:6">
      <c r="D579" s="15"/>
      <c r="F579" s="11"/>
    </row>
    <row r="580" spans="4:6">
      <c r="D580" s="15"/>
      <c r="F580" s="11"/>
    </row>
    <row r="581" spans="4:6">
      <c r="D581" s="15"/>
      <c r="F581" s="11"/>
    </row>
    <row r="582" spans="4:6">
      <c r="D582" s="15"/>
      <c r="F582" s="11"/>
    </row>
    <row r="583" spans="4:6">
      <c r="D583" s="15"/>
      <c r="F583" s="11"/>
    </row>
    <row r="584" spans="4:6">
      <c r="D584" s="15"/>
      <c r="F584" s="11"/>
    </row>
    <row r="585" spans="4:6">
      <c r="D585" s="15"/>
      <c r="F585" s="11"/>
    </row>
    <row r="586" spans="4:6">
      <c r="D586" s="15"/>
      <c r="F586" s="11"/>
    </row>
    <row r="587" spans="4:6">
      <c r="D587" s="15"/>
      <c r="F587" s="11"/>
    </row>
    <row r="588" spans="4:6">
      <c r="D588" s="15"/>
      <c r="F588" s="11"/>
    </row>
    <row r="589" spans="4:6">
      <c r="D589" s="15"/>
      <c r="F589" s="11"/>
    </row>
    <row r="590" spans="4:6">
      <c r="D590" s="15"/>
      <c r="F590" s="11"/>
    </row>
    <row r="591" spans="4:6">
      <c r="D591" s="15"/>
      <c r="F591" s="11"/>
    </row>
    <row r="592" spans="4:6">
      <c r="D592" s="15"/>
      <c r="F592" s="11"/>
    </row>
    <row r="593" spans="4:6">
      <c r="D593" s="15"/>
      <c r="F593" s="11"/>
    </row>
    <row r="594" spans="4:6">
      <c r="D594" s="15"/>
      <c r="F594" s="11"/>
    </row>
    <row r="595" spans="4:6">
      <c r="D595" s="15"/>
      <c r="F595" s="11"/>
    </row>
    <row r="596" spans="4:6">
      <c r="D596" s="15"/>
      <c r="F596" s="11"/>
    </row>
    <row r="597" spans="4:6">
      <c r="D597" s="15"/>
      <c r="F597" s="11"/>
    </row>
    <row r="598" spans="4:6">
      <c r="D598" s="15"/>
      <c r="F598" s="11"/>
    </row>
    <row r="599" spans="4:6">
      <c r="D599" s="15"/>
      <c r="F599" s="11"/>
    </row>
    <row r="600" spans="4:6">
      <c r="D600" s="15"/>
      <c r="F600" s="11"/>
    </row>
    <row r="601" spans="4:6">
      <c r="D601" s="15"/>
      <c r="F601" s="11"/>
    </row>
    <row r="602" spans="4:6">
      <c r="D602" s="15"/>
      <c r="F602" s="11"/>
    </row>
    <row r="603" spans="4:6">
      <c r="D603" s="15"/>
      <c r="F603" s="11"/>
    </row>
    <row r="604" spans="4:6">
      <c r="D604" s="15"/>
      <c r="F604" s="11"/>
    </row>
    <row r="605" spans="4:6">
      <c r="D605" s="15"/>
      <c r="F605" s="11"/>
    </row>
    <row r="606" spans="4:6">
      <c r="D606" s="15"/>
      <c r="F606" s="11"/>
    </row>
    <row r="607" spans="4:6">
      <c r="D607" s="15"/>
      <c r="F607" s="11"/>
    </row>
    <row r="608" spans="4:6">
      <c r="D608" s="15"/>
      <c r="F608" s="11"/>
    </row>
    <row r="609" spans="4:6">
      <c r="D609" s="15"/>
      <c r="F609" s="11"/>
    </row>
    <row r="610" spans="4:6">
      <c r="D610" s="15"/>
      <c r="F610" s="11"/>
    </row>
    <row r="611" spans="4:6">
      <c r="D611" s="15"/>
      <c r="F611" s="11"/>
    </row>
    <row r="612" spans="4:6">
      <c r="D612" s="15"/>
      <c r="F612" s="11"/>
    </row>
    <row r="613" spans="4:6">
      <c r="D613" s="15"/>
      <c r="F613" s="11"/>
    </row>
    <row r="614" spans="4:6">
      <c r="D614" s="15"/>
      <c r="F614" s="11"/>
    </row>
    <row r="615" spans="4:6">
      <c r="D615" s="15"/>
      <c r="F615" s="11"/>
    </row>
    <row r="616" spans="4:6">
      <c r="D616" s="15"/>
      <c r="F616" s="11"/>
    </row>
    <row r="617" spans="4:6">
      <c r="D617" s="15"/>
      <c r="F617" s="11"/>
    </row>
    <row r="618" spans="4:6">
      <c r="D618" s="15"/>
      <c r="F618" s="11"/>
    </row>
    <row r="619" spans="4:6">
      <c r="D619" s="15"/>
      <c r="F619" s="11"/>
    </row>
    <row r="620" spans="4:6">
      <c r="D620" s="15"/>
      <c r="F620" s="11"/>
    </row>
    <row r="621" spans="4:6">
      <c r="D621" s="15"/>
      <c r="F621" s="11"/>
    </row>
    <row r="622" spans="4:6">
      <c r="D622" s="15"/>
      <c r="F622" s="11"/>
    </row>
    <row r="623" spans="4:6">
      <c r="D623" s="15"/>
      <c r="F623" s="11"/>
    </row>
    <row r="624" spans="4:6">
      <c r="D624" s="15"/>
      <c r="F624" s="11"/>
    </row>
    <row r="625" spans="4:6">
      <c r="D625" s="15"/>
      <c r="F625" s="11"/>
    </row>
    <row r="626" spans="4:6">
      <c r="D626" s="15"/>
      <c r="F626" s="11"/>
    </row>
    <row r="627" spans="4:6">
      <c r="D627" s="15"/>
      <c r="F627" s="11"/>
    </row>
    <row r="628" spans="4:6">
      <c r="D628" s="15"/>
      <c r="F628" s="11"/>
    </row>
    <row r="629" spans="4:6">
      <c r="D629" s="15"/>
      <c r="F629" s="11"/>
    </row>
    <row r="630" spans="4:6">
      <c r="D630" s="15"/>
      <c r="F630" s="11"/>
    </row>
    <row r="631" spans="4:6">
      <c r="D631" s="15"/>
      <c r="F631" s="11"/>
    </row>
    <row r="632" spans="4:6">
      <c r="D632" s="15"/>
      <c r="F632" s="11"/>
    </row>
    <row r="633" spans="4:6">
      <c r="D633" s="15"/>
      <c r="F633" s="11"/>
    </row>
    <row r="634" spans="4:6">
      <c r="D634" s="15"/>
      <c r="F634" s="11"/>
    </row>
    <row r="635" spans="4:6">
      <c r="D635" s="15"/>
      <c r="F635" s="11"/>
    </row>
    <row r="636" spans="4:6">
      <c r="D636" s="15"/>
      <c r="F636" s="11"/>
    </row>
    <row r="637" spans="4:6">
      <c r="D637" s="15"/>
      <c r="F637" s="11"/>
    </row>
    <row r="638" spans="4:6">
      <c r="D638" s="15"/>
      <c r="F638" s="11"/>
    </row>
    <row r="639" spans="4:6">
      <c r="D639" s="15"/>
      <c r="F639" s="11"/>
    </row>
    <row r="640" spans="4:6">
      <c r="D640" s="15"/>
      <c r="F640" s="11"/>
    </row>
    <row r="641" spans="4:6">
      <c r="D641" s="15"/>
      <c r="F641" s="11"/>
    </row>
    <row r="642" spans="4:6">
      <c r="D642" s="15"/>
      <c r="F642" s="11"/>
    </row>
    <row r="643" spans="4:6">
      <c r="D643" s="15"/>
      <c r="F643" s="11"/>
    </row>
    <row r="644" spans="4:6">
      <c r="D644" s="15"/>
      <c r="F644" s="11"/>
    </row>
    <row r="645" spans="4:6">
      <c r="D645" s="15"/>
      <c r="F645" s="11"/>
    </row>
    <row r="646" spans="4:6">
      <c r="D646" s="15"/>
      <c r="F646" s="11"/>
    </row>
    <row r="647" spans="4:6">
      <c r="D647" s="15"/>
      <c r="F647" s="11"/>
    </row>
    <row r="648" spans="4:6">
      <c r="D648" s="15"/>
      <c r="F648" s="11"/>
    </row>
    <row r="649" spans="4:6">
      <c r="D649" s="15"/>
      <c r="F649" s="11"/>
    </row>
    <row r="650" spans="4:6">
      <c r="D650" s="15"/>
      <c r="F650" s="11"/>
    </row>
    <row r="651" spans="4:6">
      <c r="D651" s="15"/>
      <c r="F651" s="11"/>
    </row>
    <row r="652" spans="4:6">
      <c r="D652" s="15"/>
      <c r="F652" s="11"/>
    </row>
    <row r="653" spans="4:6">
      <c r="D653" s="15"/>
      <c r="F653" s="11"/>
    </row>
    <row r="654" spans="4:6">
      <c r="D654" s="15"/>
      <c r="F654" s="11"/>
    </row>
    <row r="655" spans="4:6">
      <c r="D655" s="15"/>
      <c r="F655" s="11"/>
    </row>
    <row r="656" spans="4:6">
      <c r="D656" s="15"/>
      <c r="F656" s="11"/>
    </row>
    <row r="657" spans="4:6">
      <c r="D657" s="15"/>
      <c r="F657" s="11"/>
    </row>
    <row r="658" spans="4:6">
      <c r="D658" s="15"/>
      <c r="F658" s="11"/>
    </row>
    <row r="659" spans="4:6">
      <c r="D659" s="15"/>
      <c r="F659" s="11"/>
    </row>
    <row r="660" spans="4:6">
      <c r="D660" s="15"/>
      <c r="F660" s="11"/>
    </row>
    <row r="661" spans="4:6">
      <c r="D661" s="15"/>
      <c r="F661" s="11"/>
    </row>
    <row r="662" spans="4:6">
      <c r="D662" s="15"/>
      <c r="F662" s="11"/>
    </row>
    <row r="663" spans="4:6">
      <c r="D663" s="15"/>
      <c r="F663" s="11"/>
    </row>
    <row r="664" spans="4:6">
      <c r="D664" s="15"/>
      <c r="F664" s="11"/>
    </row>
    <row r="665" spans="4:6">
      <c r="D665" s="15"/>
      <c r="F665" s="11"/>
    </row>
    <row r="666" spans="4:6">
      <c r="D666" s="15"/>
      <c r="F666" s="11"/>
    </row>
    <row r="667" spans="4:6">
      <c r="D667" s="15"/>
      <c r="F667" s="11"/>
    </row>
    <row r="668" spans="4:6">
      <c r="D668" s="15"/>
      <c r="F668" s="11"/>
    </row>
    <row r="669" spans="4:6">
      <c r="D669" s="15"/>
      <c r="F669" s="11"/>
    </row>
    <row r="670" spans="4:6">
      <c r="D670" s="15"/>
      <c r="F670" s="11"/>
    </row>
    <row r="671" spans="4:6">
      <c r="D671" s="15"/>
      <c r="F671" s="11"/>
    </row>
    <row r="672" spans="4:6">
      <c r="D672" s="15"/>
      <c r="F672" s="11"/>
    </row>
    <row r="673" spans="4:6">
      <c r="D673" s="15"/>
      <c r="F673" s="11"/>
    </row>
    <row r="674" spans="4:6">
      <c r="D674" s="15"/>
      <c r="F674" s="11"/>
    </row>
    <row r="675" spans="4:6">
      <c r="D675" s="15"/>
      <c r="F675" s="11"/>
    </row>
    <row r="676" spans="4:6">
      <c r="D676" s="15"/>
      <c r="F676" s="11"/>
    </row>
    <row r="677" spans="4:6">
      <c r="D677" s="15"/>
      <c r="F677" s="11"/>
    </row>
    <row r="678" spans="4:6">
      <c r="D678" s="15"/>
      <c r="F678" s="11"/>
    </row>
    <row r="679" spans="4:6">
      <c r="D679" s="15"/>
      <c r="F679" s="11"/>
    </row>
    <row r="680" spans="4:6">
      <c r="D680" s="15"/>
      <c r="F680" s="11"/>
    </row>
    <row r="681" spans="4:6">
      <c r="D681" s="15"/>
      <c r="F681" s="11"/>
    </row>
    <row r="682" spans="4:6">
      <c r="D682" s="15"/>
      <c r="F682" s="11"/>
    </row>
    <row r="683" spans="4:6">
      <c r="D683" s="15"/>
      <c r="F683" s="11"/>
    </row>
    <row r="684" spans="4:6">
      <c r="D684" s="15"/>
      <c r="F684" s="11"/>
    </row>
    <row r="685" spans="4:6">
      <c r="D685" s="15"/>
      <c r="F685" s="11"/>
    </row>
    <row r="686" spans="4:6">
      <c r="D686" s="15"/>
      <c r="F686" s="11"/>
    </row>
    <row r="687" spans="4:6">
      <c r="D687" s="15"/>
      <c r="F687" s="11"/>
    </row>
    <row r="688" spans="4:6">
      <c r="D688" s="15"/>
      <c r="F688" s="11"/>
    </row>
    <row r="689" spans="4:6">
      <c r="D689" s="15"/>
      <c r="F689" s="11"/>
    </row>
    <row r="690" spans="4:6">
      <c r="D690" s="15"/>
      <c r="F690" s="11"/>
    </row>
    <row r="691" spans="4:6">
      <c r="D691" s="15"/>
      <c r="F691" s="11"/>
    </row>
    <row r="692" spans="4:6">
      <c r="D692" s="15"/>
      <c r="F692" s="11"/>
    </row>
    <row r="693" spans="4:6">
      <c r="D693" s="15"/>
      <c r="F693" s="11"/>
    </row>
    <row r="694" spans="4:6">
      <c r="D694" s="15"/>
      <c r="F694" s="11"/>
    </row>
    <row r="695" spans="4:6">
      <c r="D695" s="15"/>
      <c r="F695" s="11"/>
    </row>
    <row r="696" spans="4:6">
      <c r="D696" s="15"/>
      <c r="F696" s="11"/>
    </row>
    <row r="697" spans="4:6">
      <c r="D697" s="15"/>
      <c r="F697" s="11"/>
    </row>
    <row r="698" spans="4:6">
      <c r="D698" s="15"/>
      <c r="F698" s="11"/>
    </row>
    <row r="699" spans="4:6">
      <c r="D699" s="15"/>
      <c r="F699" s="11"/>
    </row>
    <row r="700" spans="4:6">
      <c r="D700" s="15"/>
      <c r="F700" s="11"/>
    </row>
    <row r="701" spans="4:6">
      <c r="D701" s="15"/>
      <c r="F701" s="11"/>
    </row>
    <row r="702" spans="4:6">
      <c r="D702" s="15"/>
      <c r="F702" s="11"/>
    </row>
    <row r="703" spans="4:6">
      <c r="D703" s="15"/>
      <c r="F703" s="11"/>
    </row>
    <row r="704" spans="4:6">
      <c r="D704" s="15"/>
      <c r="F704" s="11"/>
    </row>
    <row r="705" spans="4:6">
      <c r="D705" s="15"/>
      <c r="F705" s="11"/>
    </row>
    <row r="706" spans="4:6">
      <c r="D706" s="15"/>
      <c r="F706" s="11"/>
    </row>
    <row r="707" spans="4:6">
      <c r="D707" s="15"/>
      <c r="F707" s="11"/>
    </row>
    <row r="708" spans="4:6">
      <c r="D708" s="15"/>
      <c r="F708" s="11"/>
    </row>
    <row r="709" spans="4:6">
      <c r="D709" s="15"/>
      <c r="F709" s="11"/>
    </row>
    <row r="710" spans="4:6">
      <c r="D710" s="15"/>
      <c r="F710" s="11"/>
    </row>
    <row r="711" spans="4:6">
      <c r="D711" s="15"/>
      <c r="F711" s="11"/>
    </row>
    <row r="712" spans="4:6">
      <c r="D712" s="15"/>
      <c r="F712" s="11"/>
    </row>
    <row r="713" spans="4:6">
      <c r="D713" s="15"/>
      <c r="F713" s="11"/>
    </row>
    <row r="714" spans="4:6">
      <c r="D714" s="15"/>
      <c r="F714" s="11"/>
    </row>
    <row r="715" spans="4:6">
      <c r="D715" s="15"/>
      <c r="F715" s="11"/>
    </row>
    <row r="716" spans="4:6">
      <c r="D716" s="15"/>
      <c r="F716" s="11"/>
    </row>
    <row r="717" spans="4:6">
      <c r="D717" s="15"/>
      <c r="F717" s="11"/>
    </row>
    <row r="718" spans="4:6">
      <c r="D718" s="15"/>
      <c r="F718" s="11"/>
    </row>
    <row r="719" spans="4:6">
      <c r="D719" s="15"/>
      <c r="F719" s="11"/>
    </row>
    <row r="720" spans="4:6">
      <c r="D720" s="15"/>
      <c r="F720" s="11"/>
    </row>
    <row r="721" spans="4:6">
      <c r="D721" s="15"/>
      <c r="F721" s="11"/>
    </row>
    <row r="722" spans="4:6">
      <c r="D722" s="15"/>
      <c r="F722" s="11"/>
    </row>
    <row r="723" spans="4:6">
      <c r="D723" s="15"/>
      <c r="F723" s="11"/>
    </row>
    <row r="724" spans="4:6">
      <c r="D724" s="15"/>
      <c r="F724" s="11"/>
    </row>
    <row r="725" spans="4:6">
      <c r="D725" s="15"/>
      <c r="F725" s="11"/>
    </row>
    <row r="726" spans="4:6">
      <c r="D726" s="15"/>
      <c r="F726" s="11"/>
    </row>
    <row r="727" spans="4:6">
      <c r="D727" s="15"/>
      <c r="F727" s="11"/>
    </row>
    <row r="728" spans="4:6">
      <c r="D728" s="15"/>
      <c r="F728" s="11"/>
    </row>
    <row r="729" spans="4:6">
      <c r="D729" s="15"/>
      <c r="F729" s="11"/>
    </row>
    <row r="730" spans="4:6">
      <c r="D730" s="15"/>
      <c r="F730" s="11"/>
    </row>
    <row r="731" spans="4:6">
      <c r="D731" s="15"/>
      <c r="F731" s="11"/>
    </row>
    <row r="732" spans="4:6">
      <c r="D732" s="15"/>
      <c r="F732" s="11"/>
    </row>
    <row r="733" spans="4:6">
      <c r="D733" s="15"/>
      <c r="F733" s="11"/>
    </row>
    <row r="734" spans="4:6">
      <c r="D734" s="15"/>
      <c r="F734" s="11"/>
    </row>
    <row r="735" spans="4:6">
      <c r="D735" s="15"/>
      <c r="F735" s="11"/>
    </row>
    <row r="736" spans="4:6">
      <c r="D736" s="15"/>
      <c r="F736" s="11"/>
    </row>
    <row r="737" spans="4:6">
      <c r="D737" s="15"/>
      <c r="F737" s="11"/>
    </row>
    <row r="738" spans="4:6">
      <c r="D738" s="15"/>
      <c r="F738" s="11"/>
    </row>
    <row r="739" spans="4:6">
      <c r="D739" s="15"/>
      <c r="F739" s="11"/>
    </row>
    <row r="740" spans="4:6">
      <c r="D740" s="15"/>
      <c r="F740" s="11"/>
    </row>
    <row r="741" spans="4:6">
      <c r="D741" s="15"/>
      <c r="F741" s="11"/>
    </row>
    <row r="742" spans="4:6">
      <c r="D742" s="15"/>
      <c r="F742" s="11"/>
    </row>
    <row r="743" spans="4:6">
      <c r="D743" s="15"/>
      <c r="F743" s="11"/>
    </row>
    <row r="744" spans="4:6">
      <c r="D744" s="15"/>
      <c r="F744" s="11"/>
    </row>
    <row r="745" spans="4:6">
      <c r="D745" s="15"/>
      <c r="F745" s="11"/>
    </row>
    <row r="746" spans="4:6">
      <c r="D746" s="15"/>
      <c r="F746" s="11"/>
    </row>
    <row r="747" spans="4:6">
      <c r="D747" s="15"/>
      <c r="F747" s="11"/>
    </row>
    <row r="748" spans="4:6">
      <c r="D748" s="15"/>
      <c r="F748" s="11"/>
    </row>
    <row r="749" spans="4:6">
      <c r="D749" s="15"/>
      <c r="F749" s="11"/>
    </row>
    <row r="750" spans="4:6">
      <c r="D750" s="15"/>
      <c r="F750" s="11"/>
    </row>
    <row r="751" spans="4:6">
      <c r="D751" s="15"/>
      <c r="F751" s="11"/>
    </row>
    <row r="752" spans="4:6">
      <c r="D752" s="15"/>
      <c r="F752" s="11"/>
    </row>
    <row r="753" spans="4:6">
      <c r="D753" s="15"/>
      <c r="F753" s="11"/>
    </row>
    <row r="754" spans="4:6">
      <c r="D754" s="15"/>
      <c r="F754" s="11"/>
    </row>
    <row r="755" spans="4:6">
      <c r="D755" s="15"/>
      <c r="F755" s="11"/>
    </row>
    <row r="756" spans="4:6">
      <c r="D756" s="15"/>
      <c r="F756" s="11"/>
    </row>
    <row r="757" spans="4:6">
      <c r="D757" s="15"/>
      <c r="F757" s="11"/>
    </row>
    <row r="758" spans="4:6">
      <c r="D758" s="15"/>
      <c r="F758" s="11"/>
    </row>
    <row r="759" spans="4:6">
      <c r="D759" s="15"/>
      <c r="F759" s="11"/>
    </row>
    <row r="760" spans="4:6">
      <c r="D760" s="15"/>
      <c r="F760" s="11"/>
    </row>
    <row r="761" spans="4:6">
      <c r="D761" s="15"/>
      <c r="F761" s="11"/>
    </row>
    <row r="762" spans="4:6">
      <c r="D762" s="15"/>
      <c r="F762" s="11"/>
    </row>
    <row r="763" spans="4:6">
      <c r="D763" s="15"/>
      <c r="F763" s="11"/>
    </row>
    <row r="764" spans="4:6">
      <c r="D764" s="15"/>
      <c r="F764" s="11"/>
    </row>
    <row r="765" spans="4:6">
      <c r="D765" s="15"/>
      <c r="F765" s="11"/>
    </row>
    <row r="766" spans="4:6">
      <c r="D766" s="15"/>
      <c r="F766" s="11"/>
    </row>
    <row r="767" spans="4:6">
      <c r="D767" s="15"/>
      <c r="F767" s="11"/>
    </row>
    <row r="768" spans="4:6">
      <c r="D768" s="15"/>
      <c r="F768" s="11"/>
    </row>
    <row r="769" spans="4:6">
      <c r="D769" s="15"/>
      <c r="F769" s="11"/>
    </row>
    <row r="770" spans="4:6">
      <c r="D770" s="15"/>
      <c r="F770" s="11"/>
    </row>
    <row r="771" spans="4:6">
      <c r="D771" s="15"/>
      <c r="F771" s="11"/>
    </row>
    <row r="772" spans="4:6">
      <c r="D772" s="15"/>
      <c r="F772" s="11"/>
    </row>
    <row r="773" spans="4:6">
      <c r="D773" s="15"/>
      <c r="F773" s="11"/>
    </row>
    <row r="774" spans="4:6">
      <c r="D774" s="15"/>
      <c r="F774" s="11"/>
    </row>
    <row r="775" spans="4:6">
      <c r="D775" s="15"/>
      <c r="F775" s="11"/>
    </row>
    <row r="776" spans="4:6">
      <c r="D776" s="15"/>
      <c r="F776" s="11"/>
    </row>
    <row r="777" spans="4:6">
      <c r="D777" s="15"/>
      <c r="F777" s="11"/>
    </row>
    <row r="778" spans="4:6">
      <c r="D778" s="15"/>
      <c r="F778" s="11"/>
    </row>
    <row r="779" spans="4:6">
      <c r="D779" s="15"/>
      <c r="F779" s="11"/>
    </row>
    <row r="780" spans="4:6">
      <c r="D780" s="15"/>
      <c r="F780" s="11"/>
    </row>
    <row r="781" spans="4:6">
      <c r="D781" s="15"/>
      <c r="F781" s="11"/>
    </row>
    <row r="782" spans="4:6">
      <c r="D782" s="15"/>
      <c r="F782" s="11"/>
    </row>
    <row r="783" spans="4:6">
      <c r="D783" s="15"/>
      <c r="F783" s="11"/>
    </row>
    <row r="784" spans="4:6">
      <c r="D784" s="15"/>
      <c r="F784" s="11"/>
    </row>
    <row r="785" spans="4:6">
      <c r="D785" s="15"/>
      <c r="F785" s="11"/>
    </row>
    <row r="786" spans="4:6">
      <c r="D786" s="15"/>
      <c r="F786" s="11"/>
    </row>
    <row r="787" spans="4:6">
      <c r="D787" s="15"/>
      <c r="F787" s="11"/>
    </row>
    <row r="788" spans="4:6">
      <c r="D788" s="15"/>
      <c r="F788" s="11"/>
    </row>
    <row r="789" spans="4:6">
      <c r="D789" s="15"/>
      <c r="F789" s="11"/>
    </row>
    <row r="790" spans="4:6">
      <c r="D790" s="15"/>
      <c r="F790" s="11"/>
    </row>
    <row r="791" spans="4:6">
      <c r="D791" s="15"/>
      <c r="F791" s="11"/>
    </row>
    <row r="792" spans="4:6">
      <c r="D792" s="15"/>
      <c r="F792" s="11"/>
    </row>
    <row r="793" spans="4:6">
      <c r="D793" s="15"/>
      <c r="F793" s="11"/>
    </row>
    <row r="794" spans="4:6">
      <c r="D794" s="15"/>
      <c r="F794" s="11"/>
    </row>
    <row r="795" spans="4:6">
      <c r="D795" s="15"/>
      <c r="F795" s="11"/>
    </row>
    <row r="796" spans="4:6">
      <c r="D796" s="15"/>
      <c r="F796" s="11"/>
    </row>
    <row r="797" spans="4:6">
      <c r="D797" s="15"/>
      <c r="F797" s="11"/>
    </row>
    <row r="798" spans="4:6">
      <c r="D798" s="15"/>
      <c r="F798" s="11"/>
    </row>
    <row r="799" spans="4:6">
      <c r="D799" s="15"/>
      <c r="F799" s="11"/>
    </row>
    <row r="800" spans="4:6">
      <c r="D800" s="15"/>
      <c r="F800" s="11"/>
    </row>
    <row r="801" spans="4:6">
      <c r="D801" s="15"/>
      <c r="F801" s="11"/>
    </row>
    <row r="802" spans="4:6">
      <c r="D802" s="15"/>
      <c r="F802" s="11"/>
    </row>
    <row r="803" spans="4:6">
      <c r="D803" s="15"/>
      <c r="F803" s="11"/>
    </row>
    <row r="804" spans="4:6">
      <c r="D804" s="15"/>
      <c r="F804" s="11"/>
    </row>
    <row r="805" spans="4:6">
      <c r="D805" s="15"/>
      <c r="F805" s="11"/>
    </row>
    <row r="806" spans="4:6">
      <c r="D806" s="15"/>
      <c r="F806" s="11"/>
    </row>
    <row r="807" spans="4:6">
      <c r="D807" s="15"/>
      <c r="F807" s="11"/>
    </row>
    <row r="808" spans="4:6">
      <c r="D808" s="15"/>
      <c r="F808" s="11"/>
    </row>
    <row r="809" spans="4:6">
      <c r="D809" s="15"/>
      <c r="F809" s="11"/>
    </row>
    <row r="810" spans="4:6">
      <c r="D810" s="15"/>
      <c r="F810" s="11"/>
    </row>
    <row r="811" spans="4:6">
      <c r="D811" s="15"/>
      <c r="F811" s="11"/>
    </row>
    <row r="812" spans="4:6">
      <c r="D812" s="15"/>
      <c r="F812" s="11"/>
    </row>
    <row r="813" spans="4:6">
      <c r="D813" s="15"/>
      <c r="F813" s="11"/>
    </row>
    <row r="814" spans="4:6">
      <c r="D814" s="15"/>
      <c r="F814" s="11"/>
    </row>
    <row r="815" spans="4:6">
      <c r="D815" s="15"/>
      <c r="F815" s="11"/>
    </row>
    <row r="816" spans="4:6">
      <c r="D816" s="15"/>
      <c r="F816" s="11"/>
    </row>
    <row r="817" spans="4:6">
      <c r="D817" s="15"/>
      <c r="F817" s="11"/>
    </row>
    <row r="818" spans="4:6">
      <c r="D818" s="15"/>
      <c r="F818" s="11"/>
    </row>
    <row r="819" spans="4:6">
      <c r="D819" s="15"/>
      <c r="F819" s="11"/>
    </row>
    <row r="820" spans="4:6">
      <c r="D820" s="15"/>
      <c r="F820" s="11"/>
    </row>
    <row r="821" spans="4:6">
      <c r="D821" s="15"/>
      <c r="F821" s="11"/>
    </row>
    <row r="822" spans="4:6">
      <c r="D822" s="15"/>
      <c r="F822" s="11"/>
    </row>
    <row r="823" spans="4:6">
      <c r="D823" s="15"/>
      <c r="F823" s="11"/>
    </row>
    <row r="824" spans="4:6">
      <c r="D824" s="15"/>
      <c r="F824" s="11"/>
    </row>
    <row r="825" spans="4:6">
      <c r="D825" s="15"/>
      <c r="F825" s="11"/>
    </row>
    <row r="826" spans="4:6">
      <c r="D826" s="15"/>
      <c r="F826" s="11"/>
    </row>
    <row r="827" spans="4:6">
      <c r="D827" s="15"/>
      <c r="F827" s="11"/>
    </row>
    <row r="828" spans="4:6">
      <c r="D828" s="15"/>
      <c r="F828" s="11"/>
    </row>
    <row r="829" spans="4:6">
      <c r="D829" s="15"/>
      <c r="F829" s="11"/>
    </row>
    <row r="830" spans="4:6">
      <c r="D830" s="15"/>
      <c r="F830" s="11"/>
    </row>
    <row r="831" spans="4:6">
      <c r="D831" s="15"/>
      <c r="F831" s="11"/>
    </row>
    <row r="832" spans="4:6">
      <c r="D832" s="15"/>
      <c r="F832" s="11"/>
    </row>
    <row r="833" spans="4:6">
      <c r="D833" s="15"/>
      <c r="F833" s="11"/>
    </row>
    <row r="834" spans="4:6">
      <c r="D834" s="15"/>
      <c r="F834" s="11"/>
    </row>
    <row r="835" spans="4:6">
      <c r="D835" s="15"/>
      <c r="F835" s="11"/>
    </row>
    <row r="836" spans="4:6">
      <c r="D836" s="15"/>
      <c r="F836" s="11"/>
    </row>
    <row r="837" spans="4:6">
      <c r="D837" s="15"/>
      <c r="F837" s="11"/>
    </row>
    <row r="838" spans="4:6">
      <c r="D838" s="15"/>
      <c r="F838" s="11"/>
    </row>
    <row r="839" spans="4:6">
      <c r="D839" s="15"/>
      <c r="F839" s="11"/>
    </row>
    <row r="840" spans="4:6">
      <c r="D840" s="15"/>
      <c r="F840" s="11"/>
    </row>
    <row r="841" spans="4:6">
      <c r="D841" s="15"/>
      <c r="F841" s="11"/>
    </row>
    <row r="842" spans="4:6">
      <c r="D842" s="15"/>
      <c r="F842" s="11"/>
    </row>
    <row r="843" spans="4:6">
      <c r="D843" s="15"/>
      <c r="F843" s="11"/>
    </row>
    <row r="844" spans="4:6">
      <c r="D844" s="15"/>
      <c r="F844" s="11"/>
    </row>
    <row r="845" spans="4:6">
      <c r="D845" s="15"/>
      <c r="F845" s="11"/>
    </row>
    <row r="846" spans="4:6">
      <c r="D846" s="15"/>
      <c r="F846" s="11"/>
    </row>
    <row r="847" spans="4:6">
      <c r="D847" s="15"/>
      <c r="F847" s="11"/>
    </row>
    <row r="848" spans="4:6">
      <c r="D848" s="15"/>
      <c r="F848" s="11"/>
    </row>
    <row r="849" spans="4:6">
      <c r="D849" s="15"/>
      <c r="F849" s="11"/>
    </row>
    <row r="850" spans="4:6">
      <c r="D850" s="15"/>
      <c r="F850" s="11"/>
    </row>
    <row r="851" spans="4:6">
      <c r="D851" s="15"/>
      <c r="F851" s="11"/>
    </row>
    <row r="852" spans="4:6">
      <c r="D852" s="15"/>
      <c r="F852" s="11"/>
    </row>
    <row r="853" spans="4:6">
      <c r="D853" s="15"/>
      <c r="F853" s="11"/>
    </row>
    <row r="854" spans="4:6">
      <c r="D854" s="15"/>
      <c r="F854" s="11"/>
    </row>
    <row r="855" spans="4:6">
      <c r="D855" s="15"/>
      <c r="F855" s="11"/>
    </row>
    <row r="856" spans="4:6">
      <c r="D856" s="15"/>
      <c r="F856" s="11"/>
    </row>
    <row r="857" spans="4:6">
      <c r="D857" s="15"/>
      <c r="F857" s="11"/>
    </row>
    <row r="858" spans="4:6">
      <c r="D858" s="15"/>
      <c r="F858" s="11"/>
    </row>
    <row r="859" spans="4:6">
      <c r="D859" s="15"/>
      <c r="F859" s="11"/>
    </row>
    <row r="860" spans="4:6">
      <c r="D860" s="15"/>
      <c r="F860" s="11"/>
    </row>
    <row r="861" spans="4:6">
      <c r="D861" s="15"/>
      <c r="F861" s="11"/>
    </row>
    <row r="862" spans="4:6">
      <c r="D862" s="15"/>
      <c r="F862" s="11"/>
    </row>
    <row r="863" spans="4:6">
      <c r="D863" s="15"/>
      <c r="F863" s="11"/>
    </row>
    <row r="864" spans="4:6">
      <c r="D864" s="15"/>
      <c r="F864" s="11"/>
    </row>
    <row r="865" spans="4:6">
      <c r="D865" s="15"/>
      <c r="F865" s="11"/>
    </row>
    <row r="866" spans="4:6">
      <c r="D866" s="15"/>
      <c r="F866" s="11"/>
    </row>
    <row r="867" spans="4:6">
      <c r="D867" s="15"/>
      <c r="F867" s="11"/>
    </row>
    <row r="868" spans="4:6">
      <c r="D868" s="15"/>
      <c r="F868" s="11"/>
    </row>
    <row r="869" spans="4:6">
      <c r="D869" s="15"/>
      <c r="F869" s="11"/>
    </row>
    <row r="870" spans="4:6">
      <c r="D870" s="15"/>
      <c r="F870" s="11"/>
    </row>
    <row r="871" spans="4:6">
      <c r="D871" s="15"/>
      <c r="F871" s="11"/>
    </row>
    <row r="872" spans="4:6">
      <c r="D872" s="15"/>
      <c r="F872" s="11"/>
    </row>
    <row r="873" spans="4:6">
      <c r="D873" s="15"/>
      <c r="F873" s="11"/>
    </row>
    <row r="874" spans="4:6">
      <c r="D874" s="15"/>
      <c r="F874" s="11"/>
    </row>
    <row r="875" spans="4:6">
      <c r="D875" s="15"/>
      <c r="F875" s="11"/>
    </row>
    <row r="876" spans="4:6">
      <c r="D876" s="15"/>
      <c r="F876" s="11"/>
    </row>
    <row r="877" spans="4:6">
      <c r="D877" s="15"/>
      <c r="F877" s="11"/>
    </row>
    <row r="878" spans="4:6">
      <c r="D878" s="15"/>
      <c r="F878" s="11"/>
    </row>
    <row r="879" spans="4:6">
      <c r="D879" s="15"/>
      <c r="F879" s="11"/>
    </row>
    <row r="880" spans="4:6">
      <c r="D880" s="15"/>
      <c r="F880" s="11"/>
    </row>
    <row r="881" spans="4:6">
      <c r="D881" s="15"/>
      <c r="F881" s="11"/>
    </row>
    <row r="882" spans="4:6">
      <c r="D882" s="15"/>
      <c r="F882" s="11"/>
    </row>
    <row r="883" spans="4:6">
      <c r="D883" s="15"/>
      <c r="F883" s="11"/>
    </row>
    <row r="884" spans="4:6">
      <c r="D884" s="15"/>
      <c r="F884" s="11"/>
    </row>
    <row r="885" spans="4:6">
      <c r="D885" s="15"/>
      <c r="F885" s="11"/>
    </row>
    <row r="886" spans="4:6">
      <c r="D886" s="15"/>
      <c r="F886" s="11"/>
    </row>
    <row r="887" spans="4:6">
      <c r="D887" s="15"/>
      <c r="F887" s="11"/>
    </row>
    <row r="888" spans="4:6">
      <c r="D888" s="15"/>
      <c r="F888" s="11"/>
    </row>
    <row r="889" spans="4:6">
      <c r="D889" s="15"/>
      <c r="F889" s="11"/>
    </row>
    <row r="890" spans="4:6">
      <c r="D890" s="15"/>
      <c r="F890" s="11"/>
    </row>
    <row r="891" spans="4:6">
      <c r="D891" s="15"/>
      <c r="F891" s="11"/>
    </row>
    <row r="892" spans="4:6">
      <c r="D892" s="15"/>
      <c r="F892" s="11"/>
    </row>
    <row r="893" spans="4:6">
      <c r="D893" s="15"/>
      <c r="F893" s="11"/>
    </row>
    <row r="894" spans="4:6">
      <c r="D894" s="15"/>
      <c r="F894" s="11"/>
    </row>
    <row r="895" spans="4:6">
      <c r="D895" s="15"/>
      <c r="F895" s="11"/>
    </row>
    <row r="896" spans="4:6">
      <c r="D896" s="15"/>
      <c r="F896" s="11"/>
    </row>
    <row r="897" spans="4:6">
      <c r="D897" s="15"/>
      <c r="F897" s="11"/>
    </row>
    <row r="898" spans="4:6">
      <c r="D898" s="15"/>
      <c r="F898" s="11"/>
    </row>
    <row r="899" spans="4:6">
      <c r="D899" s="15"/>
      <c r="F899" s="11"/>
    </row>
    <row r="900" spans="4:6">
      <c r="D900" s="15"/>
      <c r="F900" s="11"/>
    </row>
    <row r="901" spans="4:6">
      <c r="D901" s="15"/>
      <c r="F901" s="11"/>
    </row>
    <row r="902" spans="4:6">
      <c r="D902" s="15"/>
      <c r="F902" s="11"/>
    </row>
    <row r="903" spans="4:6">
      <c r="D903" s="15"/>
      <c r="F903" s="11"/>
    </row>
    <row r="904" spans="4:6">
      <c r="D904" s="15"/>
      <c r="F904" s="11"/>
    </row>
    <row r="905" spans="4:6">
      <c r="D905" s="15"/>
      <c r="F905" s="11"/>
    </row>
    <row r="906" spans="4:6">
      <c r="D906" s="15"/>
      <c r="F906" s="11"/>
    </row>
    <row r="907" spans="4:6">
      <c r="D907" s="15"/>
      <c r="F907" s="11"/>
    </row>
    <row r="908" spans="4:6">
      <c r="D908" s="15"/>
      <c r="F908" s="11"/>
    </row>
    <row r="909" spans="4:6">
      <c r="D909" s="15"/>
      <c r="F909" s="11"/>
    </row>
    <row r="910" spans="4:6">
      <c r="D910" s="15"/>
      <c r="F910" s="11"/>
    </row>
    <row r="911" spans="4:6">
      <c r="D911" s="15"/>
      <c r="F911" s="11"/>
    </row>
    <row r="912" spans="4:6">
      <c r="D912" s="15"/>
      <c r="F912" s="11"/>
    </row>
    <row r="913" spans="4:6">
      <c r="D913" s="15"/>
      <c r="F913" s="11"/>
    </row>
    <row r="914" spans="4:6">
      <c r="D914" s="15"/>
      <c r="F914" s="11"/>
    </row>
    <row r="915" spans="4:6">
      <c r="D915" s="15"/>
      <c r="F915" s="11"/>
    </row>
    <row r="916" spans="4:6">
      <c r="D916" s="15"/>
      <c r="F916" s="11"/>
    </row>
    <row r="917" spans="4:6">
      <c r="D917" s="15"/>
      <c r="F917" s="11"/>
    </row>
    <row r="918" spans="4:6">
      <c r="D918" s="15"/>
      <c r="F918" s="11"/>
    </row>
    <row r="919" spans="4:6">
      <c r="D919" s="15"/>
      <c r="F919" s="11"/>
    </row>
    <row r="920" spans="4:6">
      <c r="D920" s="15"/>
      <c r="F920" s="11"/>
    </row>
    <row r="921" spans="4:6">
      <c r="D921" s="15"/>
      <c r="F921" s="11"/>
    </row>
    <row r="922" spans="4:6">
      <c r="D922" s="15"/>
      <c r="F922" s="11"/>
    </row>
    <row r="923" spans="4:6">
      <c r="D923" s="15"/>
      <c r="F923" s="11"/>
    </row>
    <row r="924" spans="4:6">
      <c r="D924" s="15"/>
      <c r="F924" s="11"/>
    </row>
    <row r="925" spans="4:6">
      <c r="D925" s="15"/>
      <c r="F925" s="11"/>
    </row>
    <row r="926" spans="4:6">
      <c r="D926" s="15"/>
      <c r="F926" s="11"/>
    </row>
    <row r="927" spans="4:6">
      <c r="D927" s="15"/>
      <c r="F927" s="11"/>
    </row>
    <row r="928" spans="4:6">
      <c r="D928" s="15"/>
      <c r="F928" s="11"/>
    </row>
    <row r="929" spans="4:6">
      <c r="D929" s="15"/>
      <c r="F929" s="11"/>
    </row>
    <row r="930" spans="4:6">
      <c r="D930" s="15"/>
      <c r="F930" s="11"/>
    </row>
    <row r="931" spans="4:6">
      <c r="D931" s="15"/>
      <c r="F931" s="11"/>
    </row>
    <row r="932" spans="4:6">
      <c r="D932" s="15"/>
      <c r="F932" s="11"/>
    </row>
    <row r="933" spans="4:6">
      <c r="D933" s="15"/>
      <c r="F933" s="11"/>
    </row>
    <row r="934" spans="4:6">
      <c r="D934" s="15"/>
      <c r="F934" s="11"/>
    </row>
    <row r="935" spans="4:6">
      <c r="D935" s="15"/>
      <c r="F935" s="11"/>
    </row>
    <row r="936" spans="4:6">
      <c r="D936" s="15"/>
      <c r="F936" s="11"/>
    </row>
    <row r="937" spans="4:6">
      <c r="D937" s="15"/>
      <c r="F937" s="11"/>
    </row>
    <row r="938" spans="4:6">
      <c r="D938" s="15"/>
      <c r="F938" s="11"/>
    </row>
    <row r="939" spans="4:6">
      <c r="D939" s="15"/>
      <c r="F939" s="11"/>
    </row>
    <row r="940" spans="4:6">
      <c r="D940" s="15"/>
      <c r="F940" s="11"/>
    </row>
    <row r="941" spans="4:6">
      <c r="D941" s="15"/>
      <c r="F941" s="11"/>
    </row>
    <row r="942" spans="4:6">
      <c r="D942" s="15"/>
      <c r="F942" s="11"/>
    </row>
    <row r="943" spans="4:6">
      <c r="D943" s="15"/>
      <c r="F943" s="11"/>
    </row>
    <row r="944" spans="4:6">
      <c r="D944" s="15"/>
      <c r="F944" s="11"/>
    </row>
    <row r="945" spans="4:6">
      <c r="D945" s="15"/>
      <c r="F945" s="11"/>
    </row>
    <row r="946" spans="4:6">
      <c r="D946" s="15"/>
      <c r="F946" s="11"/>
    </row>
    <row r="947" spans="4:6">
      <c r="D947" s="15"/>
      <c r="F947" s="11"/>
    </row>
    <row r="948" spans="4:6">
      <c r="D948" s="15"/>
      <c r="F948" s="11"/>
    </row>
    <row r="949" spans="4:6">
      <c r="D949" s="15"/>
      <c r="F949" s="11"/>
    </row>
    <row r="950" spans="4:6">
      <c r="D950" s="15"/>
      <c r="F950" s="11"/>
    </row>
    <row r="951" spans="4:6">
      <c r="D951" s="15"/>
      <c r="F951" s="11"/>
    </row>
    <row r="952" spans="4:6">
      <c r="D952" s="15"/>
      <c r="F952" s="11"/>
    </row>
    <row r="953" spans="4:6">
      <c r="D953" s="15"/>
      <c r="F953" s="11"/>
    </row>
    <row r="954" spans="4:6">
      <c r="D954" s="15"/>
      <c r="F954" s="11"/>
    </row>
    <row r="955" spans="4:6">
      <c r="D955" s="15"/>
      <c r="F955" s="11"/>
    </row>
    <row r="956" spans="4:6">
      <c r="D956" s="15"/>
      <c r="F956" s="11"/>
    </row>
    <row r="957" spans="4:6">
      <c r="D957" s="15"/>
      <c r="F957" s="11"/>
    </row>
    <row r="958" spans="4:6">
      <c r="D958" s="15"/>
      <c r="F958" s="11"/>
    </row>
    <row r="959" spans="4:6">
      <c r="D959" s="15"/>
      <c r="F959" s="11"/>
    </row>
    <row r="960" spans="4:6">
      <c r="D960" s="15"/>
      <c r="F960" s="11"/>
    </row>
    <row r="961" spans="4:6">
      <c r="D961" s="15"/>
      <c r="F961" s="11"/>
    </row>
    <row r="962" spans="4:6">
      <c r="D962" s="15"/>
      <c r="F962" s="11"/>
    </row>
    <row r="963" spans="4:6">
      <c r="D963" s="15"/>
      <c r="F963" s="11"/>
    </row>
    <row r="964" spans="4:6">
      <c r="D964" s="15"/>
      <c r="F964" s="11"/>
    </row>
    <row r="965" spans="4:6">
      <c r="D965" s="15"/>
      <c r="F965" s="11"/>
    </row>
    <row r="966" spans="4:6">
      <c r="D966" s="15"/>
      <c r="F966" s="11"/>
    </row>
    <row r="967" spans="4:6">
      <c r="D967" s="15"/>
      <c r="F967" s="11"/>
    </row>
    <row r="968" spans="4:6">
      <c r="D968" s="15"/>
      <c r="F968" s="11"/>
    </row>
    <row r="969" spans="4:6">
      <c r="D969" s="15"/>
      <c r="F969" s="11"/>
    </row>
    <row r="970" spans="4:6">
      <c r="D970" s="15"/>
      <c r="F970" s="11"/>
    </row>
    <row r="971" spans="4:6">
      <c r="D971" s="15"/>
      <c r="F971" s="11"/>
    </row>
    <row r="972" spans="4:6">
      <c r="D972" s="15"/>
      <c r="F972" s="11"/>
    </row>
    <row r="973" spans="4:6">
      <c r="D973" s="15"/>
      <c r="F973" s="11"/>
    </row>
    <row r="974" spans="4:6">
      <c r="D974" s="15"/>
      <c r="F974" s="11"/>
    </row>
    <row r="975" spans="4:6">
      <c r="D975" s="15"/>
      <c r="F975" s="11"/>
    </row>
    <row r="976" spans="4:6">
      <c r="D976" s="15"/>
      <c r="F976" s="11"/>
    </row>
    <row r="977" spans="4:6">
      <c r="D977" s="15"/>
      <c r="F977" s="11"/>
    </row>
    <row r="978" spans="4:6">
      <c r="D978" s="15"/>
      <c r="F978" s="11"/>
    </row>
    <row r="979" spans="4:6">
      <c r="D979" s="15"/>
      <c r="F979" s="11"/>
    </row>
    <row r="980" spans="4:6">
      <c r="D980" s="15"/>
      <c r="F980" s="11"/>
    </row>
    <row r="981" spans="4:6">
      <c r="D981" s="15"/>
      <c r="F981" s="11"/>
    </row>
    <row r="982" spans="4:6">
      <c r="D982" s="15"/>
      <c r="F982" s="11"/>
    </row>
    <row r="983" spans="4:6">
      <c r="D983" s="15"/>
      <c r="F983" s="11"/>
    </row>
    <row r="984" spans="4:6">
      <c r="D984" s="15"/>
      <c r="F984" s="11"/>
    </row>
    <row r="985" spans="4:6">
      <c r="D985" s="15"/>
      <c r="F985" s="11"/>
    </row>
    <row r="986" spans="4:6">
      <c r="D986" s="15"/>
      <c r="F986" s="11"/>
    </row>
    <row r="987" spans="4:6">
      <c r="D987" s="15"/>
      <c r="F987" s="11"/>
    </row>
    <row r="988" spans="4:6">
      <c r="D988" s="15"/>
      <c r="F988" s="11"/>
    </row>
    <row r="989" spans="4:6">
      <c r="D989" s="15"/>
      <c r="F989" s="11"/>
    </row>
    <row r="990" spans="4:6">
      <c r="D990" s="15"/>
      <c r="F990" s="11"/>
    </row>
    <row r="991" spans="4:6">
      <c r="D991" s="15"/>
      <c r="F991" s="11"/>
    </row>
    <row r="992" spans="4:6">
      <c r="D992" s="15"/>
      <c r="F992" s="11"/>
    </row>
    <row r="993" spans="4:6">
      <c r="D993" s="15"/>
      <c r="F993" s="11"/>
    </row>
    <row r="994" spans="4:6">
      <c r="D994" s="15"/>
      <c r="F994" s="11"/>
    </row>
    <row r="995" spans="4:6">
      <c r="D995" s="15"/>
      <c r="F995" s="11"/>
    </row>
    <row r="996" spans="4:6">
      <c r="D996" s="15"/>
      <c r="F996" s="11"/>
    </row>
    <row r="997" spans="4:6">
      <c r="D997" s="15"/>
      <c r="F997" s="11"/>
    </row>
    <row r="998" spans="4:6">
      <c r="D998" s="15"/>
      <c r="F998" s="11"/>
    </row>
    <row r="999" spans="4:6">
      <c r="D999" s="15"/>
      <c r="F999" s="11"/>
    </row>
    <row r="1000" spans="4:6">
      <c r="D1000" s="15"/>
      <c r="F1000" s="1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opLeftCell="B51" workbookViewId="0">
      <selection activeCell="N76" sqref="N76"/>
    </sheetView>
  </sheetViews>
  <sheetFormatPr defaultColWidth="14.42578125" defaultRowHeight="15.75" customHeight="1"/>
  <sheetData>
    <row r="1" spans="1:27">
      <c r="A1" s="4" t="s">
        <v>0</v>
      </c>
      <c r="B1" s="4" t="s">
        <v>20</v>
      </c>
      <c r="C1" s="4" t="s">
        <v>2</v>
      </c>
      <c r="D1" s="12" t="s">
        <v>3</v>
      </c>
      <c r="E1" s="4" t="s">
        <v>4</v>
      </c>
      <c r="F1" s="2" t="s">
        <v>5</v>
      </c>
      <c r="G1" s="17"/>
      <c r="H1" s="17"/>
      <c r="I1" s="17" t="s">
        <v>0</v>
      </c>
      <c r="J1" t="s">
        <v>20</v>
      </c>
      <c r="K1" t="s">
        <v>2</v>
      </c>
      <c r="L1" t="s">
        <v>3</v>
      </c>
      <c r="M1" t="s">
        <v>4</v>
      </c>
      <c r="N1" t="s">
        <v>5</v>
      </c>
      <c r="T1" s="17"/>
      <c r="U1" s="4" t="s">
        <v>0</v>
      </c>
      <c r="V1" s="4" t="s">
        <v>20</v>
      </c>
      <c r="W1" s="4" t="s">
        <v>2</v>
      </c>
      <c r="X1" s="4" t="s">
        <v>3</v>
      </c>
      <c r="Y1" s="4" t="s">
        <v>4</v>
      </c>
      <c r="Z1" s="4" t="s">
        <v>16</v>
      </c>
      <c r="AA1" s="2" t="s">
        <v>5</v>
      </c>
    </row>
    <row r="2" spans="1:27">
      <c r="A2" s="7">
        <v>0.40218749999999998</v>
      </c>
      <c r="B2" s="4" t="s">
        <v>14</v>
      </c>
      <c r="C2" s="4" t="s">
        <v>8</v>
      </c>
      <c r="D2" s="12">
        <v>2.5129999999999999</v>
      </c>
      <c r="E2" s="12">
        <v>5</v>
      </c>
      <c r="F2" s="13">
        <f t="shared" ref="F2:F177" si="0">IF(C2="Продажа",D2*E2,-D2*E2)</f>
        <v>-12.565</v>
      </c>
      <c r="G2" s="17"/>
      <c r="H2" s="17"/>
      <c r="I2" s="27">
        <v>0.40218749999999998</v>
      </c>
      <c r="J2" t="s">
        <v>14</v>
      </c>
      <c r="K2" t="s">
        <v>8</v>
      </c>
      <c r="L2">
        <v>2.5129999999999999</v>
      </c>
      <c r="M2">
        <v>5</v>
      </c>
      <c r="N2">
        <f>IF(K2="Продажа",M2*L2,-M2*L2)</f>
        <v>-12.565</v>
      </c>
      <c r="T2" s="12">
        <v>1</v>
      </c>
      <c r="U2" s="7">
        <v>0.85674768518518518</v>
      </c>
      <c r="V2" s="4" t="s">
        <v>21</v>
      </c>
      <c r="W2" s="4" t="s">
        <v>8</v>
      </c>
      <c r="X2" s="12">
        <v>73616</v>
      </c>
      <c r="Y2" s="12">
        <v>3</v>
      </c>
      <c r="Z2" s="4" t="s">
        <v>22</v>
      </c>
      <c r="AA2" s="13">
        <f t="shared" ref="AA2:AA272" si="1">IF(W2="Продажа",X2*Y2,-X2*Y2)</f>
        <v>-220848</v>
      </c>
    </row>
    <row r="3" spans="1:27">
      <c r="A3" s="7">
        <v>0.40218749999999998</v>
      </c>
      <c r="B3" s="4" t="s">
        <v>14</v>
      </c>
      <c r="C3" s="4" t="s">
        <v>8</v>
      </c>
      <c r="D3" s="12">
        <v>2.5099999999999998</v>
      </c>
      <c r="E3" s="12">
        <v>2</v>
      </c>
      <c r="F3" s="13">
        <f t="shared" si="0"/>
        <v>-5.0199999999999996</v>
      </c>
      <c r="G3" s="17"/>
      <c r="H3" s="17"/>
      <c r="I3" s="27">
        <v>0.40218749999999998</v>
      </c>
      <c r="J3" t="s">
        <v>14</v>
      </c>
      <c r="K3" t="s">
        <v>8</v>
      </c>
      <c r="L3">
        <v>2.5099999999999998</v>
      </c>
      <c r="M3">
        <v>2</v>
      </c>
      <c r="N3">
        <f t="shared" ref="N3:N66" si="2">IF(K3="Продажа",M3*L3,-M3*L3)</f>
        <v>-5.0199999999999996</v>
      </c>
      <c r="T3" s="12">
        <v>2</v>
      </c>
      <c r="U3" s="7">
        <v>0.85674768518518518</v>
      </c>
      <c r="V3" s="4" t="s">
        <v>23</v>
      </c>
      <c r="W3" s="4" t="s">
        <v>7</v>
      </c>
      <c r="X3" s="12">
        <v>72838</v>
      </c>
      <c r="Y3" s="12">
        <v>3</v>
      </c>
      <c r="Z3" s="4" t="s">
        <v>22</v>
      </c>
      <c r="AA3" s="13">
        <f t="shared" si="1"/>
        <v>218514</v>
      </c>
    </row>
    <row r="4" spans="1:27">
      <c r="A4" s="7">
        <v>0.39887731481481481</v>
      </c>
      <c r="B4" s="4" t="s">
        <v>14</v>
      </c>
      <c r="C4" s="4" t="s">
        <v>8</v>
      </c>
      <c r="D4" s="12">
        <v>2.5059999999999998</v>
      </c>
      <c r="E4" s="12">
        <v>1</v>
      </c>
      <c r="F4" s="13">
        <f t="shared" si="0"/>
        <v>-2.5059999999999998</v>
      </c>
      <c r="G4" s="17"/>
      <c r="H4" s="17"/>
      <c r="I4" s="27">
        <v>0.39887731481481481</v>
      </c>
      <c r="J4" t="s">
        <v>14</v>
      </c>
      <c r="K4" t="s">
        <v>8</v>
      </c>
      <c r="L4">
        <v>2.5059999999999998</v>
      </c>
      <c r="M4">
        <v>1</v>
      </c>
      <c r="N4">
        <f t="shared" si="2"/>
        <v>-2.5059999999999998</v>
      </c>
      <c r="T4" s="12">
        <v>3</v>
      </c>
      <c r="U4" s="7">
        <v>0.84600694444444446</v>
      </c>
      <c r="V4" s="4" t="s">
        <v>21</v>
      </c>
      <c r="W4" s="4" t="s">
        <v>8</v>
      </c>
      <c r="X4" s="12">
        <v>73565</v>
      </c>
      <c r="Y4" s="12">
        <v>1</v>
      </c>
      <c r="Z4" s="4" t="s">
        <v>22</v>
      </c>
      <c r="AA4" s="13">
        <f t="shared" si="1"/>
        <v>-73565</v>
      </c>
    </row>
    <row r="5" spans="1:27">
      <c r="A5" s="7">
        <v>0.39887731481481481</v>
      </c>
      <c r="B5" s="4" t="s">
        <v>14</v>
      </c>
      <c r="C5" s="4" t="s">
        <v>8</v>
      </c>
      <c r="D5" s="12">
        <v>2.5059999999999998</v>
      </c>
      <c r="E5" s="12">
        <v>1</v>
      </c>
      <c r="F5" s="13">
        <f t="shared" si="0"/>
        <v>-2.5059999999999998</v>
      </c>
      <c r="G5" s="17"/>
      <c r="H5" s="17"/>
      <c r="I5" s="27">
        <v>0.39887731481481481</v>
      </c>
      <c r="J5" t="s">
        <v>14</v>
      </c>
      <c r="K5" t="s">
        <v>8</v>
      </c>
      <c r="L5">
        <v>2.5059999999999998</v>
      </c>
      <c r="M5">
        <v>1</v>
      </c>
      <c r="N5">
        <f t="shared" si="2"/>
        <v>-2.5059999999999998</v>
      </c>
      <c r="T5" s="12">
        <v>4</v>
      </c>
      <c r="U5" s="7">
        <v>0.84600694444444446</v>
      </c>
      <c r="V5" s="4" t="s">
        <v>23</v>
      </c>
      <c r="W5" s="4" t="s">
        <v>7</v>
      </c>
      <c r="X5" s="12">
        <v>72793</v>
      </c>
      <c r="Y5" s="12">
        <v>1</v>
      </c>
      <c r="Z5" s="4" t="s">
        <v>22</v>
      </c>
      <c r="AA5" s="13">
        <f t="shared" si="1"/>
        <v>72793</v>
      </c>
    </row>
    <row r="6" spans="1:27">
      <c r="A6" s="7">
        <v>0.39887731481481481</v>
      </c>
      <c r="B6" s="4" t="s">
        <v>14</v>
      </c>
      <c r="C6" s="4" t="s">
        <v>8</v>
      </c>
      <c r="D6" s="12">
        <v>2.5059999999999998</v>
      </c>
      <c r="E6" s="12">
        <v>1</v>
      </c>
      <c r="F6" s="13">
        <f t="shared" si="0"/>
        <v>-2.5059999999999998</v>
      </c>
      <c r="G6" s="17"/>
      <c r="H6" s="17"/>
      <c r="I6" s="27">
        <v>0.39887731481481481</v>
      </c>
      <c r="J6" t="s">
        <v>14</v>
      </c>
      <c r="K6" t="s">
        <v>8</v>
      </c>
      <c r="L6">
        <v>2.5059999999999998</v>
      </c>
      <c r="M6">
        <v>1</v>
      </c>
      <c r="N6">
        <f t="shared" si="2"/>
        <v>-2.5059999999999998</v>
      </c>
      <c r="T6" s="12">
        <v>5</v>
      </c>
      <c r="U6" s="7">
        <v>0.84361111111111109</v>
      </c>
      <c r="V6" s="4" t="s">
        <v>21</v>
      </c>
      <c r="W6" s="4" t="s">
        <v>8</v>
      </c>
      <c r="X6" s="12">
        <v>73587</v>
      </c>
      <c r="Y6" s="12">
        <v>1</v>
      </c>
      <c r="Z6" s="4" t="s">
        <v>22</v>
      </c>
      <c r="AA6" s="13">
        <f t="shared" si="1"/>
        <v>-73587</v>
      </c>
    </row>
    <row r="7" spans="1:27">
      <c r="A7" s="7">
        <v>0.39701388888888889</v>
      </c>
      <c r="B7" s="4" t="s">
        <v>14</v>
      </c>
      <c r="C7" s="4" t="s">
        <v>8</v>
      </c>
      <c r="D7" s="12">
        <v>2.5049999999999999</v>
      </c>
      <c r="E7" s="12">
        <v>5</v>
      </c>
      <c r="F7" s="13">
        <f t="shared" si="0"/>
        <v>-12.524999999999999</v>
      </c>
      <c r="G7" s="17"/>
      <c r="H7" s="17"/>
      <c r="I7" s="27">
        <v>0.39701388888888883</v>
      </c>
      <c r="J7" t="s">
        <v>14</v>
      </c>
      <c r="K7" t="s">
        <v>8</v>
      </c>
      <c r="L7">
        <v>2.5049999999999999</v>
      </c>
      <c r="M7">
        <v>5</v>
      </c>
      <c r="N7">
        <f t="shared" si="2"/>
        <v>-12.524999999999999</v>
      </c>
      <c r="T7" s="12">
        <v>6</v>
      </c>
      <c r="U7" s="7">
        <v>0.84361111111111109</v>
      </c>
      <c r="V7" s="4" t="s">
        <v>21</v>
      </c>
      <c r="W7" s="4" t="s">
        <v>8</v>
      </c>
      <c r="X7" s="12">
        <v>73587</v>
      </c>
      <c r="Y7" s="12">
        <v>1</v>
      </c>
      <c r="Z7" s="4" t="s">
        <v>22</v>
      </c>
      <c r="AA7" s="13">
        <f t="shared" si="1"/>
        <v>-73587</v>
      </c>
    </row>
    <row r="8" spans="1:27">
      <c r="A8" s="7">
        <v>0.39701388888888889</v>
      </c>
      <c r="B8" s="4" t="s">
        <v>14</v>
      </c>
      <c r="C8" s="4" t="s">
        <v>8</v>
      </c>
      <c r="D8" s="12">
        <v>2.5049999999999999</v>
      </c>
      <c r="E8" s="12">
        <v>3</v>
      </c>
      <c r="F8" s="13">
        <f t="shared" si="0"/>
        <v>-7.5149999999999997</v>
      </c>
      <c r="G8" s="17"/>
      <c r="H8" s="17"/>
      <c r="I8" s="27">
        <v>0.39701388888888883</v>
      </c>
      <c r="J8" t="s">
        <v>14</v>
      </c>
      <c r="K8" t="s">
        <v>8</v>
      </c>
      <c r="L8">
        <v>2.5049999999999999</v>
      </c>
      <c r="M8">
        <v>3</v>
      </c>
      <c r="N8">
        <f t="shared" si="2"/>
        <v>-7.5149999999999997</v>
      </c>
      <c r="T8" s="12">
        <v>7</v>
      </c>
      <c r="U8" s="7">
        <v>0.84361111111111109</v>
      </c>
      <c r="V8" s="4" t="s">
        <v>21</v>
      </c>
      <c r="W8" s="4" t="s">
        <v>8</v>
      </c>
      <c r="X8" s="12">
        <v>73587</v>
      </c>
      <c r="Y8" s="12">
        <v>1</v>
      </c>
      <c r="Z8" s="4" t="s">
        <v>22</v>
      </c>
      <c r="AA8" s="13">
        <f t="shared" si="1"/>
        <v>-73587</v>
      </c>
    </row>
    <row r="9" spans="1:27">
      <c r="A9" s="7">
        <v>0.39701388888888889</v>
      </c>
      <c r="B9" s="4" t="s">
        <v>14</v>
      </c>
      <c r="C9" s="4" t="s">
        <v>8</v>
      </c>
      <c r="D9" s="12">
        <v>2.5049999999999999</v>
      </c>
      <c r="E9" s="12">
        <v>2</v>
      </c>
      <c r="F9" s="13">
        <f t="shared" si="0"/>
        <v>-5.01</v>
      </c>
      <c r="G9" s="17"/>
      <c r="H9" s="17"/>
      <c r="I9" s="27">
        <v>0.39701388888888883</v>
      </c>
      <c r="J9" t="s">
        <v>14</v>
      </c>
      <c r="K9" t="s">
        <v>8</v>
      </c>
      <c r="L9">
        <v>2.5049999999999999</v>
      </c>
      <c r="M9">
        <v>2</v>
      </c>
      <c r="N9">
        <f t="shared" si="2"/>
        <v>-5.01</v>
      </c>
      <c r="T9" s="12">
        <v>8</v>
      </c>
      <c r="U9" s="7">
        <v>0.84361111111111109</v>
      </c>
      <c r="V9" s="4" t="s">
        <v>23</v>
      </c>
      <c r="W9" s="4" t="s">
        <v>7</v>
      </c>
      <c r="X9" s="12">
        <v>72810</v>
      </c>
      <c r="Y9" s="12">
        <v>3</v>
      </c>
      <c r="Z9" s="4" t="s">
        <v>22</v>
      </c>
      <c r="AA9" s="13">
        <f t="shared" si="1"/>
        <v>218430</v>
      </c>
    </row>
    <row r="10" spans="1:27">
      <c r="A10" s="7">
        <v>0.39701388888888889</v>
      </c>
      <c r="B10" s="4" t="s">
        <v>14</v>
      </c>
      <c r="C10" s="4" t="s">
        <v>8</v>
      </c>
      <c r="D10" s="12">
        <v>2.5030000000000001</v>
      </c>
      <c r="E10" s="12">
        <v>1</v>
      </c>
      <c r="F10" s="13">
        <f t="shared" si="0"/>
        <v>-2.5030000000000001</v>
      </c>
      <c r="G10" s="17"/>
      <c r="H10" s="17"/>
      <c r="I10" s="27">
        <v>0.39701388888888883</v>
      </c>
      <c r="J10" t="s">
        <v>14</v>
      </c>
      <c r="K10" t="s">
        <v>8</v>
      </c>
      <c r="L10">
        <v>2.5030000000000001</v>
      </c>
      <c r="M10">
        <v>1</v>
      </c>
      <c r="N10">
        <f t="shared" si="2"/>
        <v>-2.5030000000000001</v>
      </c>
      <c r="T10" s="12">
        <v>9</v>
      </c>
      <c r="U10" s="7">
        <v>0.84359953703703705</v>
      </c>
      <c r="V10" s="4" t="s">
        <v>21</v>
      </c>
      <c r="W10" s="4" t="s">
        <v>8</v>
      </c>
      <c r="X10" s="12">
        <v>73582</v>
      </c>
      <c r="Y10" s="12">
        <v>3</v>
      </c>
      <c r="Z10" s="4" t="s">
        <v>22</v>
      </c>
      <c r="AA10" s="13">
        <f t="shared" si="1"/>
        <v>-220746</v>
      </c>
    </row>
    <row r="11" spans="1:27">
      <c r="A11" s="7">
        <v>0.39701388888888889</v>
      </c>
      <c r="B11" s="4" t="s">
        <v>14</v>
      </c>
      <c r="C11" s="4" t="s">
        <v>8</v>
      </c>
      <c r="D11" s="12">
        <v>2.5019999999999998</v>
      </c>
      <c r="E11" s="12">
        <v>1</v>
      </c>
      <c r="F11" s="13">
        <f t="shared" si="0"/>
        <v>-2.5019999999999998</v>
      </c>
      <c r="G11" s="17"/>
      <c r="H11" s="17"/>
      <c r="I11" s="27">
        <v>0.39701388888888883</v>
      </c>
      <c r="J11" t="s">
        <v>14</v>
      </c>
      <c r="K11" t="s">
        <v>8</v>
      </c>
      <c r="L11">
        <v>2.5019999999999998</v>
      </c>
      <c r="M11">
        <v>1</v>
      </c>
      <c r="N11">
        <f t="shared" si="2"/>
        <v>-2.5019999999999998</v>
      </c>
      <c r="T11" s="12">
        <v>10</v>
      </c>
      <c r="U11" s="7">
        <v>0.84359953703703705</v>
      </c>
      <c r="V11" s="4" t="s">
        <v>23</v>
      </c>
      <c r="W11" s="4" t="s">
        <v>7</v>
      </c>
      <c r="X11" s="12">
        <v>72806</v>
      </c>
      <c r="Y11" s="12">
        <v>3</v>
      </c>
      <c r="Z11" s="4" t="s">
        <v>22</v>
      </c>
      <c r="AA11" s="13">
        <f t="shared" si="1"/>
        <v>218418</v>
      </c>
    </row>
    <row r="12" spans="1:27">
      <c r="A12" s="7">
        <v>0.39675925925925926</v>
      </c>
      <c r="B12" s="4" t="s">
        <v>14</v>
      </c>
      <c r="C12" s="4" t="s">
        <v>8</v>
      </c>
      <c r="D12" s="12">
        <v>2.504</v>
      </c>
      <c r="E12" s="12">
        <v>10</v>
      </c>
      <c r="F12" s="13">
        <f t="shared" si="0"/>
        <v>-25.04</v>
      </c>
      <c r="G12" s="17"/>
      <c r="H12" s="17"/>
      <c r="I12" s="27">
        <v>0.39675925925925926</v>
      </c>
      <c r="J12" t="s">
        <v>14</v>
      </c>
      <c r="K12" t="s">
        <v>8</v>
      </c>
      <c r="L12">
        <v>2.504</v>
      </c>
      <c r="M12">
        <v>10</v>
      </c>
      <c r="N12">
        <f t="shared" si="2"/>
        <v>-25.04</v>
      </c>
      <c r="T12" s="12">
        <v>11</v>
      </c>
      <c r="U12" s="7">
        <v>0.84356481481481482</v>
      </c>
      <c r="V12" s="4" t="s">
        <v>21</v>
      </c>
      <c r="W12" s="4" t="s">
        <v>8</v>
      </c>
      <c r="X12" s="12">
        <v>73578</v>
      </c>
      <c r="Y12" s="12">
        <v>1</v>
      </c>
      <c r="Z12" s="4" t="s">
        <v>22</v>
      </c>
      <c r="AA12" s="13">
        <f t="shared" si="1"/>
        <v>-73578</v>
      </c>
    </row>
    <row r="13" spans="1:27">
      <c r="A13" s="7">
        <v>0.39675925925925926</v>
      </c>
      <c r="B13" s="4" t="s">
        <v>14</v>
      </c>
      <c r="C13" s="4" t="s">
        <v>8</v>
      </c>
      <c r="D13" s="12">
        <v>2.504</v>
      </c>
      <c r="E13" s="12">
        <v>1</v>
      </c>
      <c r="F13" s="13">
        <f t="shared" si="0"/>
        <v>-2.504</v>
      </c>
      <c r="G13" s="17"/>
      <c r="H13" s="17"/>
      <c r="I13" s="27">
        <v>0.39675925925925926</v>
      </c>
      <c r="J13" t="s">
        <v>14</v>
      </c>
      <c r="K13" t="s">
        <v>8</v>
      </c>
      <c r="L13">
        <v>2.504</v>
      </c>
      <c r="M13">
        <v>1</v>
      </c>
      <c r="N13">
        <f t="shared" si="2"/>
        <v>-2.504</v>
      </c>
      <c r="T13" s="12">
        <v>12</v>
      </c>
      <c r="U13" s="7">
        <v>0.84356481481481482</v>
      </c>
      <c r="V13" s="4" t="s">
        <v>21</v>
      </c>
      <c r="W13" s="4" t="s">
        <v>8</v>
      </c>
      <c r="X13" s="12">
        <v>73578</v>
      </c>
      <c r="Y13" s="12">
        <v>2</v>
      </c>
      <c r="Z13" s="4" t="s">
        <v>22</v>
      </c>
      <c r="AA13" s="13">
        <f t="shared" si="1"/>
        <v>-147156</v>
      </c>
    </row>
    <row r="14" spans="1:27">
      <c r="A14" s="7">
        <v>0.39675925925925926</v>
      </c>
      <c r="B14" s="4" t="s">
        <v>14</v>
      </c>
      <c r="C14" s="4" t="s">
        <v>8</v>
      </c>
      <c r="D14" s="12">
        <v>2.504</v>
      </c>
      <c r="E14" s="12">
        <v>1</v>
      </c>
      <c r="F14" s="13">
        <f t="shared" si="0"/>
        <v>-2.504</v>
      </c>
      <c r="G14" s="17"/>
      <c r="H14" s="17"/>
      <c r="I14" s="27">
        <v>0.39675925925925926</v>
      </c>
      <c r="J14" t="s">
        <v>14</v>
      </c>
      <c r="K14" t="s">
        <v>8</v>
      </c>
      <c r="L14">
        <v>2.504</v>
      </c>
      <c r="M14">
        <v>1</v>
      </c>
      <c r="N14">
        <f t="shared" si="2"/>
        <v>-2.504</v>
      </c>
      <c r="T14" s="12">
        <v>13</v>
      </c>
      <c r="U14" s="7">
        <v>0.84356481481481482</v>
      </c>
      <c r="V14" s="4" t="s">
        <v>23</v>
      </c>
      <c r="W14" s="4" t="s">
        <v>7</v>
      </c>
      <c r="X14" s="12">
        <v>72806</v>
      </c>
      <c r="Y14" s="12">
        <v>1</v>
      </c>
      <c r="Z14" s="4" t="s">
        <v>22</v>
      </c>
      <c r="AA14" s="13">
        <f t="shared" si="1"/>
        <v>72806</v>
      </c>
    </row>
    <row r="15" spans="1:27">
      <c r="A15" s="7">
        <v>0.39675925925925926</v>
      </c>
      <c r="B15" s="4" t="s">
        <v>14</v>
      </c>
      <c r="C15" s="4" t="s">
        <v>8</v>
      </c>
      <c r="D15" s="12">
        <v>2.5030000000000001</v>
      </c>
      <c r="E15" s="12">
        <v>1</v>
      </c>
      <c r="F15" s="13">
        <f t="shared" si="0"/>
        <v>-2.5030000000000001</v>
      </c>
      <c r="G15" s="17"/>
      <c r="H15" s="17"/>
      <c r="I15" s="27">
        <v>0.39675925925925926</v>
      </c>
      <c r="J15" t="s">
        <v>14</v>
      </c>
      <c r="K15" t="s">
        <v>8</v>
      </c>
      <c r="L15">
        <v>2.5030000000000001</v>
      </c>
      <c r="M15">
        <v>1</v>
      </c>
      <c r="N15">
        <f t="shared" si="2"/>
        <v>-2.5030000000000001</v>
      </c>
      <c r="T15" s="12">
        <v>14</v>
      </c>
      <c r="U15" s="7">
        <v>0.84356481481481482</v>
      </c>
      <c r="V15" s="4" t="s">
        <v>23</v>
      </c>
      <c r="W15" s="4" t="s">
        <v>7</v>
      </c>
      <c r="X15" s="12">
        <v>72806</v>
      </c>
      <c r="Y15" s="12">
        <v>2</v>
      </c>
      <c r="Z15" s="4" t="s">
        <v>22</v>
      </c>
      <c r="AA15" s="13">
        <f t="shared" si="1"/>
        <v>145612</v>
      </c>
    </row>
    <row r="16" spans="1:27">
      <c r="A16" s="7">
        <v>0.39675925925925926</v>
      </c>
      <c r="B16" s="4" t="s">
        <v>14</v>
      </c>
      <c r="C16" s="4" t="s">
        <v>8</v>
      </c>
      <c r="D16" s="12">
        <v>2.5019999999999998</v>
      </c>
      <c r="E16" s="12">
        <v>1</v>
      </c>
      <c r="F16" s="13">
        <f t="shared" si="0"/>
        <v>-2.5019999999999998</v>
      </c>
      <c r="G16" s="17"/>
      <c r="H16" s="17"/>
      <c r="I16" s="27">
        <v>0.39675925925925926</v>
      </c>
      <c r="J16" t="s">
        <v>14</v>
      </c>
      <c r="K16" t="s">
        <v>8</v>
      </c>
      <c r="L16">
        <v>2.5019999999999998</v>
      </c>
      <c r="M16">
        <v>1</v>
      </c>
      <c r="N16">
        <f t="shared" si="2"/>
        <v>-2.5019999999999998</v>
      </c>
      <c r="T16" s="12">
        <v>15</v>
      </c>
      <c r="U16" s="7">
        <v>0.84356481481481482</v>
      </c>
      <c r="V16" s="4" t="s">
        <v>21</v>
      </c>
      <c r="W16" s="4" t="s">
        <v>8</v>
      </c>
      <c r="X16" s="12">
        <v>73574</v>
      </c>
      <c r="Y16" s="12">
        <v>3</v>
      </c>
      <c r="Z16" s="4" t="s">
        <v>22</v>
      </c>
      <c r="AA16" s="13">
        <f t="shared" si="1"/>
        <v>-220722</v>
      </c>
    </row>
    <row r="17" spans="1:27">
      <c r="A17" s="7">
        <v>0.39653935185185185</v>
      </c>
      <c r="B17" s="4" t="s">
        <v>14</v>
      </c>
      <c r="C17" s="4" t="s">
        <v>8</v>
      </c>
      <c r="D17" s="12">
        <v>2.5030000000000001</v>
      </c>
      <c r="E17" s="12">
        <v>1</v>
      </c>
      <c r="F17" s="13">
        <f t="shared" si="0"/>
        <v>-2.5030000000000001</v>
      </c>
      <c r="G17" s="17"/>
      <c r="H17" s="17"/>
      <c r="I17" s="27">
        <v>0.39653935185185185</v>
      </c>
      <c r="J17" t="s">
        <v>14</v>
      </c>
      <c r="K17" t="s">
        <v>8</v>
      </c>
      <c r="L17">
        <v>2.5030000000000001</v>
      </c>
      <c r="M17">
        <v>1</v>
      </c>
      <c r="N17">
        <f t="shared" si="2"/>
        <v>-2.5030000000000001</v>
      </c>
      <c r="T17" s="12">
        <v>16</v>
      </c>
      <c r="U17" s="7">
        <v>0.84356481481481482</v>
      </c>
      <c r="V17" s="4" t="s">
        <v>23</v>
      </c>
      <c r="W17" s="4" t="s">
        <v>7</v>
      </c>
      <c r="X17" s="12">
        <v>72802</v>
      </c>
      <c r="Y17" s="12">
        <v>3</v>
      </c>
      <c r="Z17" s="4" t="s">
        <v>22</v>
      </c>
      <c r="AA17" s="13">
        <f t="shared" si="1"/>
        <v>218406</v>
      </c>
    </row>
    <row r="18" spans="1:27">
      <c r="A18" s="7">
        <v>0.39653935185185185</v>
      </c>
      <c r="B18" s="4" t="s">
        <v>14</v>
      </c>
      <c r="C18" s="4" t="s">
        <v>8</v>
      </c>
      <c r="D18" s="12">
        <v>2.5030000000000001</v>
      </c>
      <c r="E18" s="12">
        <v>1</v>
      </c>
      <c r="F18" s="13">
        <f t="shared" si="0"/>
        <v>-2.5030000000000001</v>
      </c>
      <c r="G18" s="17"/>
      <c r="H18" s="17"/>
      <c r="I18" s="27">
        <v>0.39653935185185185</v>
      </c>
      <c r="J18" t="s">
        <v>14</v>
      </c>
      <c r="K18" t="s">
        <v>8</v>
      </c>
      <c r="L18">
        <v>2.5030000000000001</v>
      </c>
      <c r="M18">
        <v>1</v>
      </c>
      <c r="N18">
        <f t="shared" si="2"/>
        <v>-2.5030000000000001</v>
      </c>
      <c r="T18" s="12">
        <v>17</v>
      </c>
      <c r="U18" s="7">
        <v>0.84356481481481482</v>
      </c>
      <c r="V18" s="4" t="s">
        <v>21</v>
      </c>
      <c r="W18" s="4" t="s">
        <v>8</v>
      </c>
      <c r="X18" s="12">
        <v>73571</v>
      </c>
      <c r="Y18" s="12">
        <v>3</v>
      </c>
      <c r="Z18" s="4" t="s">
        <v>22</v>
      </c>
      <c r="AA18" s="13">
        <f t="shared" si="1"/>
        <v>-220713</v>
      </c>
    </row>
    <row r="19" spans="1:27">
      <c r="A19" s="7">
        <v>0.39653935185185185</v>
      </c>
      <c r="B19" s="4" t="s">
        <v>14</v>
      </c>
      <c r="C19" s="4" t="s">
        <v>8</v>
      </c>
      <c r="D19" s="12">
        <v>2.5019999999999998</v>
      </c>
      <c r="E19" s="12">
        <v>1</v>
      </c>
      <c r="F19" s="13">
        <f t="shared" si="0"/>
        <v>-2.5019999999999998</v>
      </c>
      <c r="G19" s="17"/>
      <c r="H19" s="17"/>
      <c r="I19" s="27">
        <v>0.39653935185185185</v>
      </c>
      <c r="J19" t="s">
        <v>14</v>
      </c>
      <c r="K19" t="s">
        <v>8</v>
      </c>
      <c r="L19">
        <v>2.5019999999999998</v>
      </c>
      <c r="M19">
        <v>1</v>
      </c>
      <c r="N19">
        <f t="shared" si="2"/>
        <v>-2.5019999999999998</v>
      </c>
      <c r="T19" s="12">
        <v>18</v>
      </c>
      <c r="U19" s="7">
        <v>0.84356481481481482</v>
      </c>
      <c r="V19" s="4" t="s">
        <v>23</v>
      </c>
      <c r="W19" s="4" t="s">
        <v>7</v>
      </c>
      <c r="X19" s="12">
        <v>72797</v>
      </c>
      <c r="Y19" s="12">
        <v>3</v>
      </c>
      <c r="Z19" s="4" t="s">
        <v>22</v>
      </c>
      <c r="AA19" s="13">
        <f t="shared" si="1"/>
        <v>218391</v>
      </c>
    </row>
    <row r="20" spans="1:27">
      <c r="A20" s="7">
        <v>0.39653935185185185</v>
      </c>
      <c r="B20" s="4" t="s">
        <v>14</v>
      </c>
      <c r="C20" s="4" t="s">
        <v>8</v>
      </c>
      <c r="D20" s="12">
        <v>2.5009999999999999</v>
      </c>
      <c r="E20" s="12">
        <v>1</v>
      </c>
      <c r="F20" s="13">
        <f t="shared" si="0"/>
        <v>-2.5009999999999999</v>
      </c>
      <c r="G20" s="17"/>
      <c r="H20" s="17"/>
      <c r="I20" s="27">
        <v>0.39653935185185185</v>
      </c>
      <c r="J20" t="s">
        <v>14</v>
      </c>
      <c r="K20" t="s">
        <v>8</v>
      </c>
      <c r="L20">
        <v>2.5009999999999999</v>
      </c>
      <c r="M20">
        <v>1</v>
      </c>
      <c r="N20">
        <f t="shared" si="2"/>
        <v>-2.5009999999999999</v>
      </c>
      <c r="T20" s="12">
        <v>19</v>
      </c>
      <c r="U20" s="7">
        <v>0.84349537037037037</v>
      </c>
      <c r="V20" s="4" t="s">
        <v>21</v>
      </c>
      <c r="W20" s="4" t="s">
        <v>8</v>
      </c>
      <c r="X20" s="12">
        <v>73565</v>
      </c>
      <c r="Y20" s="12">
        <v>1</v>
      </c>
      <c r="Z20" s="4" t="s">
        <v>22</v>
      </c>
      <c r="AA20" s="13">
        <f t="shared" si="1"/>
        <v>-73565</v>
      </c>
    </row>
    <row r="21" spans="1:27">
      <c r="A21" s="7">
        <v>0.39473379629629629</v>
      </c>
      <c r="B21" s="4" t="s">
        <v>14</v>
      </c>
      <c r="C21" s="4" t="s">
        <v>7</v>
      </c>
      <c r="D21" s="12">
        <v>2.4990000000000001</v>
      </c>
      <c r="E21" s="12">
        <v>1</v>
      </c>
      <c r="F21" s="13">
        <f t="shared" si="0"/>
        <v>2.4990000000000001</v>
      </c>
      <c r="G21" s="17"/>
      <c r="H21" s="17"/>
      <c r="I21" s="27">
        <v>0.39473379629629629</v>
      </c>
      <c r="J21" t="s">
        <v>14</v>
      </c>
      <c r="K21" t="s">
        <v>7</v>
      </c>
      <c r="L21">
        <v>2.4990000000000001</v>
      </c>
      <c r="M21">
        <v>1</v>
      </c>
      <c r="N21">
        <f t="shared" si="2"/>
        <v>2.4990000000000001</v>
      </c>
      <c r="T21" s="12">
        <v>20</v>
      </c>
      <c r="U21" s="7">
        <v>0.84349537037037037</v>
      </c>
      <c r="V21" s="4" t="s">
        <v>21</v>
      </c>
      <c r="W21" s="4" t="s">
        <v>8</v>
      </c>
      <c r="X21" s="12">
        <v>73563</v>
      </c>
      <c r="Y21" s="12">
        <v>2</v>
      </c>
      <c r="Z21" s="4" t="s">
        <v>22</v>
      </c>
      <c r="AA21" s="13">
        <f t="shared" si="1"/>
        <v>-147126</v>
      </c>
    </row>
    <row r="22" spans="1:27">
      <c r="A22" s="7">
        <v>0.39473379629629629</v>
      </c>
      <c r="B22" s="4" t="s">
        <v>14</v>
      </c>
      <c r="C22" s="4" t="s">
        <v>7</v>
      </c>
      <c r="D22" s="12">
        <v>2.5</v>
      </c>
      <c r="E22" s="12">
        <v>1</v>
      </c>
      <c r="F22" s="13">
        <f t="shared" si="0"/>
        <v>2.5</v>
      </c>
      <c r="G22" s="17"/>
      <c r="H22" s="17"/>
      <c r="I22" s="27">
        <v>0.39473379629629629</v>
      </c>
      <c r="J22" t="s">
        <v>14</v>
      </c>
      <c r="K22" t="s">
        <v>7</v>
      </c>
      <c r="L22">
        <v>2.5</v>
      </c>
      <c r="M22">
        <v>1</v>
      </c>
      <c r="N22">
        <f t="shared" si="2"/>
        <v>2.5</v>
      </c>
      <c r="T22" s="12">
        <v>21</v>
      </c>
      <c r="U22" s="7">
        <v>0.84349537037037037</v>
      </c>
      <c r="V22" s="4" t="s">
        <v>23</v>
      </c>
      <c r="W22" s="4" t="s">
        <v>7</v>
      </c>
      <c r="X22" s="12">
        <v>72788</v>
      </c>
      <c r="Y22" s="12">
        <v>3</v>
      </c>
      <c r="Z22" s="4" t="s">
        <v>22</v>
      </c>
      <c r="AA22" s="13">
        <f t="shared" si="1"/>
        <v>218364</v>
      </c>
    </row>
    <row r="23" spans="1:27">
      <c r="A23" s="7">
        <v>0.39473379629629629</v>
      </c>
      <c r="B23" s="4" t="s">
        <v>14</v>
      </c>
      <c r="C23" s="4" t="s">
        <v>7</v>
      </c>
      <c r="D23" s="12">
        <v>2.5</v>
      </c>
      <c r="E23" s="12">
        <v>1</v>
      </c>
      <c r="F23" s="13">
        <f t="shared" si="0"/>
        <v>2.5</v>
      </c>
      <c r="G23" s="17"/>
      <c r="H23" s="17"/>
      <c r="I23" s="27">
        <v>0.39473379629629629</v>
      </c>
      <c r="J23" t="s">
        <v>14</v>
      </c>
      <c r="K23" t="s">
        <v>7</v>
      </c>
      <c r="L23">
        <v>2.5</v>
      </c>
      <c r="M23">
        <v>1</v>
      </c>
      <c r="N23">
        <f t="shared" si="2"/>
        <v>2.5</v>
      </c>
      <c r="T23" s="12">
        <v>22</v>
      </c>
      <c r="U23" s="7">
        <v>0.84250000000000003</v>
      </c>
      <c r="V23" s="4" t="s">
        <v>21</v>
      </c>
      <c r="W23" s="4" t="s">
        <v>8</v>
      </c>
      <c r="X23" s="12">
        <v>73547</v>
      </c>
      <c r="Y23" s="12">
        <v>3</v>
      </c>
      <c r="Z23" s="4" t="s">
        <v>22</v>
      </c>
      <c r="AA23" s="13">
        <f t="shared" si="1"/>
        <v>-220641</v>
      </c>
    </row>
    <row r="24" spans="1:27">
      <c r="A24" s="7">
        <v>0.39315972222222223</v>
      </c>
      <c r="B24" s="4" t="s">
        <v>14</v>
      </c>
      <c r="C24" s="4" t="s">
        <v>8</v>
      </c>
      <c r="D24" s="12">
        <v>2.5009999999999999</v>
      </c>
      <c r="E24" s="12">
        <v>2</v>
      </c>
      <c r="F24" s="13">
        <f t="shared" si="0"/>
        <v>-5.0019999999999998</v>
      </c>
      <c r="G24" s="17"/>
      <c r="H24" s="17"/>
      <c r="I24" s="27">
        <v>0.39315972222222223</v>
      </c>
      <c r="J24" t="s">
        <v>14</v>
      </c>
      <c r="K24" t="s">
        <v>8</v>
      </c>
      <c r="L24">
        <v>2.5009999999999999</v>
      </c>
      <c r="M24">
        <v>2</v>
      </c>
      <c r="N24">
        <f t="shared" si="2"/>
        <v>-5.0019999999999998</v>
      </c>
      <c r="T24" s="12">
        <v>23</v>
      </c>
      <c r="U24" s="7">
        <v>0.84250000000000003</v>
      </c>
      <c r="V24" s="4" t="s">
        <v>23</v>
      </c>
      <c r="W24" s="4" t="s">
        <v>7</v>
      </c>
      <c r="X24" s="12">
        <v>72771</v>
      </c>
      <c r="Y24" s="12">
        <v>3</v>
      </c>
      <c r="Z24" s="4" t="s">
        <v>22</v>
      </c>
      <c r="AA24" s="13">
        <f t="shared" si="1"/>
        <v>218313</v>
      </c>
    </row>
    <row r="25" spans="1:27">
      <c r="A25" s="7">
        <v>0.39270833333333333</v>
      </c>
      <c r="B25" s="4" t="s">
        <v>14</v>
      </c>
      <c r="C25" s="4" t="s">
        <v>8</v>
      </c>
      <c r="D25" s="12">
        <v>2.5030000000000001</v>
      </c>
      <c r="E25" s="12">
        <v>1</v>
      </c>
      <c r="F25" s="13">
        <f t="shared" si="0"/>
        <v>-2.5030000000000001</v>
      </c>
      <c r="G25" s="17"/>
      <c r="H25" s="17"/>
      <c r="I25" s="27">
        <v>0.39270833333333338</v>
      </c>
      <c r="J25" t="s">
        <v>14</v>
      </c>
      <c r="K25" t="s">
        <v>8</v>
      </c>
      <c r="L25">
        <v>2.5030000000000001</v>
      </c>
      <c r="M25">
        <v>1</v>
      </c>
      <c r="N25">
        <f t="shared" si="2"/>
        <v>-2.5030000000000001</v>
      </c>
      <c r="T25" s="12">
        <v>24</v>
      </c>
      <c r="U25" s="7">
        <v>0.84250000000000003</v>
      </c>
      <c r="V25" s="4" t="s">
        <v>21</v>
      </c>
      <c r="W25" s="4" t="s">
        <v>8</v>
      </c>
      <c r="X25" s="12">
        <v>73542</v>
      </c>
      <c r="Y25" s="12">
        <v>3</v>
      </c>
      <c r="Z25" s="4" t="s">
        <v>22</v>
      </c>
      <c r="AA25" s="13">
        <f t="shared" si="1"/>
        <v>-220626</v>
      </c>
    </row>
    <row r="26" spans="1:27">
      <c r="A26" s="7">
        <v>0.39270833333333333</v>
      </c>
      <c r="B26" s="4" t="s">
        <v>14</v>
      </c>
      <c r="C26" s="4" t="s">
        <v>8</v>
      </c>
      <c r="D26" s="12">
        <v>2.5030000000000001</v>
      </c>
      <c r="E26" s="12">
        <v>1</v>
      </c>
      <c r="F26" s="13">
        <f t="shared" si="0"/>
        <v>-2.5030000000000001</v>
      </c>
      <c r="G26" s="17"/>
      <c r="H26" s="17"/>
      <c r="I26" s="27">
        <v>0.39270833333333338</v>
      </c>
      <c r="J26" t="s">
        <v>14</v>
      </c>
      <c r="K26" t="s">
        <v>8</v>
      </c>
      <c r="L26">
        <v>2.5030000000000001</v>
      </c>
      <c r="M26">
        <v>1</v>
      </c>
      <c r="N26">
        <f t="shared" si="2"/>
        <v>-2.5030000000000001</v>
      </c>
      <c r="T26" s="12">
        <v>25</v>
      </c>
      <c r="U26" s="7">
        <v>0.84250000000000003</v>
      </c>
      <c r="V26" s="4" t="s">
        <v>23</v>
      </c>
      <c r="W26" s="4" t="s">
        <v>7</v>
      </c>
      <c r="X26" s="12">
        <v>72768</v>
      </c>
      <c r="Y26" s="12">
        <v>3</v>
      </c>
      <c r="Z26" s="4" t="s">
        <v>22</v>
      </c>
      <c r="AA26" s="13">
        <f t="shared" si="1"/>
        <v>218304</v>
      </c>
    </row>
    <row r="27" spans="1:27">
      <c r="A27" s="7">
        <v>0.3923611111111111</v>
      </c>
      <c r="B27" s="4" t="s">
        <v>14</v>
      </c>
      <c r="C27" s="4" t="s">
        <v>8</v>
      </c>
      <c r="D27" s="12">
        <v>2.504</v>
      </c>
      <c r="E27" s="12">
        <v>3</v>
      </c>
      <c r="F27" s="13">
        <f t="shared" si="0"/>
        <v>-7.5120000000000005</v>
      </c>
      <c r="G27" s="17"/>
      <c r="H27" s="17"/>
      <c r="I27" s="27">
        <v>0.3923611111111111</v>
      </c>
      <c r="J27" t="s">
        <v>14</v>
      </c>
      <c r="K27" t="s">
        <v>8</v>
      </c>
      <c r="L27">
        <v>2.504</v>
      </c>
      <c r="M27">
        <v>3</v>
      </c>
      <c r="N27">
        <f t="shared" si="2"/>
        <v>-7.5120000000000005</v>
      </c>
      <c r="T27" s="12">
        <v>26</v>
      </c>
      <c r="U27" s="7">
        <v>0.84155092592592595</v>
      </c>
      <c r="V27" s="4" t="s">
        <v>21</v>
      </c>
      <c r="W27" s="4" t="s">
        <v>8</v>
      </c>
      <c r="X27" s="12">
        <v>73543</v>
      </c>
      <c r="Y27" s="12">
        <v>3</v>
      </c>
      <c r="Z27" s="4" t="s">
        <v>22</v>
      </c>
      <c r="AA27" s="13">
        <f t="shared" si="1"/>
        <v>-220629</v>
      </c>
    </row>
    <row r="28" spans="1:27">
      <c r="A28" s="7">
        <v>0.39207175925925924</v>
      </c>
      <c r="B28" s="4" t="s">
        <v>21</v>
      </c>
      <c r="C28" s="4" t="s">
        <v>8</v>
      </c>
      <c r="D28" s="12">
        <v>73716</v>
      </c>
      <c r="E28" s="12">
        <v>10</v>
      </c>
      <c r="F28" s="13">
        <f t="shared" si="0"/>
        <v>-737160</v>
      </c>
      <c r="G28" s="17"/>
      <c r="H28" s="17"/>
      <c r="I28" s="27">
        <v>0.38990740740740737</v>
      </c>
      <c r="J28" t="s">
        <v>14</v>
      </c>
      <c r="K28" t="s">
        <v>8</v>
      </c>
      <c r="L28">
        <v>2.5</v>
      </c>
      <c r="M28">
        <v>2</v>
      </c>
      <c r="N28">
        <f t="shared" si="2"/>
        <v>-5</v>
      </c>
      <c r="T28" s="12">
        <v>27</v>
      </c>
      <c r="U28" s="7">
        <v>0.84155092592592595</v>
      </c>
      <c r="V28" s="4" t="s">
        <v>23</v>
      </c>
      <c r="W28" s="4" t="s">
        <v>7</v>
      </c>
      <c r="X28" s="12">
        <v>72767</v>
      </c>
      <c r="Y28" s="12">
        <v>3</v>
      </c>
      <c r="Z28" s="4" t="s">
        <v>22</v>
      </c>
      <c r="AA28" s="13">
        <f t="shared" si="1"/>
        <v>218301</v>
      </c>
    </row>
    <row r="29" spans="1:27">
      <c r="A29" s="7">
        <v>0.39207175925925924</v>
      </c>
      <c r="B29" s="4" t="s">
        <v>21</v>
      </c>
      <c r="C29" s="4" t="s">
        <v>8</v>
      </c>
      <c r="D29" s="12">
        <v>73716</v>
      </c>
      <c r="E29" s="12">
        <v>34</v>
      </c>
      <c r="F29" s="13">
        <f t="shared" si="0"/>
        <v>-2506344</v>
      </c>
      <c r="G29" s="17"/>
      <c r="H29" s="17"/>
      <c r="I29" s="27">
        <v>0.38677083333333334</v>
      </c>
      <c r="J29" t="s">
        <v>14</v>
      </c>
      <c r="K29" t="s">
        <v>8</v>
      </c>
      <c r="L29">
        <v>2.5049999999999999</v>
      </c>
      <c r="M29">
        <v>1</v>
      </c>
      <c r="N29">
        <f t="shared" si="2"/>
        <v>-2.5049999999999999</v>
      </c>
      <c r="T29" s="12">
        <v>28</v>
      </c>
      <c r="U29" s="7">
        <v>0.84155092592592595</v>
      </c>
      <c r="V29" s="4" t="s">
        <v>21</v>
      </c>
      <c r="W29" s="4" t="s">
        <v>8</v>
      </c>
      <c r="X29" s="12">
        <v>73540</v>
      </c>
      <c r="Y29" s="12">
        <v>3</v>
      </c>
      <c r="Z29" s="4" t="s">
        <v>22</v>
      </c>
      <c r="AA29" s="13">
        <f t="shared" si="1"/>
        <v>-220620</v>
      </c>
    </row>
    <row r="30" spans="1:27">
      <c r="A30" s="7">
        <v>0.39207175925925924</v>
      </c>
      <c r="B30" s="4" t="s">
        <v>21</v>
      </c>
      <c r="C30" s="4" t="s">
        <v>8</v>
      </c>
      <c r="D30" s="12">
        <v>73716</v>
      </c>
      <c r="E30" s="12">
        <v>6</v>
      </c>
      <c r="F30" s="13">
        <f t="shared" si="0"/>
        <v>-442296</v>
      </c>
      <c r="G30" s="17"/>
      <c r="H30" s="17"/>
      <c r="I30" s="27">
        <v>0.38677083333333334</v>
      </c>
      <c r="J30" t="s">
        <v>14</v>
      </c>
      <c r="K30" t="s">
        <v>8</v>
      </c>
      <c r="L30">
        <v>2.5049999999999999</v>
      </c>
      <c r="M30">
        <v>1</v>
      </c>
      <c r="N30">
        <f t="shared" si="2"/>
        <v>-2.5049999999999999</v>
      </c>
      <c r="T30" s="12">
        <v>29</v>
      </c>
      <c r="U30" s="7">
        <v>0.84155092592592595</v>
      </c>
      <c r="V30" s="4" t="s">
        <v>23</v>
      </c>
      <c r="W30" s="4" t="s">
        <v>7</v>
      </c>
      <c r="X30" s="12">
        <v>72767</v>
      </c>
      <c r="Y30" s="12">
        <v>3</v>
      </c>
      <c r="Z30" s="4" t="s">
        <v>22</v>
      </c>
      <c r="AA30" s="13">
        <f t="shared" si="1"/>
        <v>218301</v>
      </c>
    </row>
    <row r="31" spans="1:27">
      <c r="A31" s="7">
        <v>0.39166666666666666</v>
      </c>
      <c r="B31" s="4" t="s">
        <v>23</v>
      </c>
      <c r="C31" s="4" t="s">
        <v>7</v>
      </c>
      <c r="D31" s="12">
        <v>72948</v>
      </c>
      <c r="E31" s="12">
        <v>21</v>
      </c>
      <c r="F31" s="13">
        <f t="shared" si="0"/>
        <v>1531908</v>
      </c>
      <c r="G31" s="17"/>
      <c r="H31" s="17"/>
      <c r="I31" s="27">
        <v>0.38677083333333334</v>
      </c>
      <c r="J31" t="s">
        <v>14</v>
      </c>
      <c r="K31" t="s">
        <v>8</v>
      </c>
      <c r="L31">
        <v>2.5049999999999999</v>
      </c>
      <c r="M31">
        <v>2</v>
      </c>
      <c r="N31">
        <f t="shared" si="2"/>
        <v>-5.01</v>
      </c>
      <c r="T31" s="12">
        <v>30</v>
      </c>
      <c r="U31" s="7">
        <v>0.8415393518518518</v>
      </c>
      <c r="V31" s="4" t="s">
        <v>21</v>
      </c>
      <c r="W31" s="4" t="s">
        <v>8</v>
      </c>
      <c r="X31" s="12">
        <v>73540</v>
      </c>
      <c r="Y31" s="12">
        <v>3</v>
      </c>
      <c r="Z31" s="4" t="s">
        <v>22</v>
      </c>
      <c r="AA31" s="13">
        <f t="shared" si="1"/>
        <v>-220620</v>
      </c>
    </row>
    <row r="32" spans="1:27">
      <c r="A32" s="7">
        <v>0.39155092592592594</v>
      </c>
      <c r="B32" s="4" t="s">
        <v>23</v>
      </c>
      <c r="C32" s="4" t="s">
        <v>7</v>
      </c>
      <c r="D32" s="12">
        <v>72948</v>
      </c>
      <c r="E32" s="12">
        <v>1</v>
      </c>
      <c r="F32" s="13">
        <f t="shared" si="0"/>
        <v>72948</v>
      </c>
      <c r="G32" s="17"/>
      <c r="H32" s="17"/>
      <c r="I32" s="27">
        <v>0.38677083333333334</v>
      </c>
      <c r="J32" t="s">
        <v>14</v>
      </c>
      <c r="K32" t="s">
        <v>8</v>
      </c>
      <c r="L32">
        <v>2.5019999999999998</v>
      </c>
      <c r="M32">
        <v>1</v>
      </c>
      <c r="N32">
        <f t="shared" si="2"/>
        <v>-2.5019999999999998</v>
      </c>
      <c r="T32" s="12">
        <v>31</v>
      </c>
      <c r="U32" s="7">
        <v>0.8415393518518518</v>
      </c>
      <c r="V32" s="4" t="s">
        <v>23</v>
      </c>
      <c r="W32" s="4" t="s">
        <v>7</v>
      </c>
      <c r="X32" s="12">
        <v>72767</v>
      </c>
      <c r="Y32" s="12">
        <v>3</v>
      </c>
      <c r="Z32" s="4" t="s">
        <v>22</v>
      </c>
      <c r="AA32" s="13">
        <f t="shared" si="1"/>
        <v>218301</v>
      </c>
    </row>
    <row r="33" spans="1:27">
      <c r="A33" s="7">
        <v>0.39151620370370371</v>
      </c>
      <c r="B33" s="4" t="s">
        <v>23</v>
      </c>
      <c r="C33" s="4" t="s">
        <v>7</v>
      </c>
      <c r="D33" s="12">
        <v>72948</v>
      </c>
      <c r="E33" s="12">
        <v>28</v>
      </c>
      <c r="F33" s="13">
        <f t="shared" si="0"/>
        <v>2042544</v>
      </c>
      <c r="G33" s="17"/>
      <c r="H33" s="17"/>
      <c r="I33" s="27">
        <v>0.38575231481481481</v>
      </c>
      <c r="J33" t="s">
        <v>14</v>
      </c>
      <c r="K33" t="s">
        <v>8</v>
      </c>
      <c r="L33">
        <v>2.4980000000000002</v>
      </c>
      <c r="M33">
        <v>15</v>
      </c>
      <c r="N33">
        <f t="shared" si="2"/>
        <v>-37.470000000000006</v>
      </c>
      <c r="T33" s="12">
        <v>32</v>
      </c>
      <c r="U33" s="7">
        <v>0.8414814814814815</v>
      </c>
      <c r="V33" s="4" t="s">
        <v>21</v>
      </c>
      <c r="W33" s="4" t="s">
        <v>8</v>
      </c>
      <c r="X33" s="12">
        <v>73540</v>
      </c>
      <c r="Y33" s="12">
        <v>3</v>
      </c>
      <c r="Z33" s="4" t="s">
        <v>22</v>
      </c>
      <c r="AA33" s="13">
        <f t="shared" si="1"/>
        <v>-220620</v>
      </c>
    </row>
    <row r="34" spans="1:27">
      <c r="A34" s="7">
        <v>0.39074074074074072</v>
      </c>
      <c r="B34" s="4" t="s">
        <v>21</v>
      </c>
      <c r="C34" s="4" t="s">
        <v>8</v>
      </c>
      <c r="D34" s="12">
        <v>73720</v>
      </c>
      <c r="E34" s="12">
        <v>1</v>
      </c>
      <c r="F34" s="13">
        <f t="shared" si="0"/>
        <v>-73720</v>
      </c>
      <c r="G34" s="17"/>
      <c r="H34" s="17"/>
      <c r="I34" s="27">
        <v>0.38575231481481481</v>
      </c>
      <c r="J34" t="s">
        <v>14</v>
      </c>
      <c r="K34" t="s">
        <v>8</v>
      </c>
      <c r="L34">
        <v>2.4969999999999999</v>
      </c>
      <c r="M34">
        <v>1</v>
      </c>
      <c r="N34">
        <f t="shared" si="2"/>
        <v>-2.4969999999999999</v>
      </c>
      <c r="T34" s="12">
        <v>33</v>
      </c>
      <c r="U34" s="7">
        <v>0.8414814814814815</v>
      </c>
      <c r="V34" s="4" t="s">
        <v>23</v>
      </c>
      <c r="W34" s="4" t="s">
        <v>7</v>
      </c>
      <c r="X34" s="12">
        <v>72767</v>
      </c>
      <c r="Y34" s="12">
        <v>3</v>
      </c>
      <c r="Z34" s="4" t="s">
        <v>22</v>
      </c>
      <c r="AA34" s="13">
        <f t="shared" si="1"/>
        <v>218301</v>
      </c>
    </row>
    <row r="35" spans="1:27">
      <c r="A35" s="7">
        <v>0.39074074074074072</v>
      </c>
      <c r="B35" s="4" t="s">
        <v>21</v>
      </c>
      <c r="C35" s="4" t="s">
        <v>8</v>
      </c>
      <c r="D35" s="12">
        <v>73720</v>
      </c>
      <c r="E35" s="12">
        <v>30</v>
      </c>
      <c r="F35" s="13">
        <f t="shared" si="0"/>
        <v>-2211600</v>
      </c>
      <c r="G35" s="17"/>
      <c r="H35" s="17"/>
      <c r="I35" s="27">
        <v>0.38575231481481481</v>
      </c>
      <c r="J35" t="s">
        <v>14</v>
      </c>
      <c r="K35" t="s">
        <v>8</v>
      </c>
      <c r="L35">
        <v>2.496</v>
      </c>
      <c r="M35">
        <v>1</v>
      </c>
      <c r="N35">
        <f t="shared" si="2"/>
        <v>-2.496</v>
      </c>
      <c r="T35" s="12">
        <v>34</v>
      </c>
      <c r="U35" s="7">
        <v>0.8414814814814815</v>
      </c>
      <c r="V35" s="4" t="s">
        <v>21</v>
      </c>
      <c r="W35" s="4" t="s">
        <v>8</v>
      </c>
      <c r="X35" s="12">
        <v>73540</v>
      </c>
      <c r="Y35" s="12">
        <v>1</v>
      </c>
      <c r="Z35" s="4" t="s">
        <v>22</v>
      </c>
      <c r="AA35" s="13">
        <f t="shared" si="1"/>
        <v>-73540</v>
      </c>
    </row>
    <row r="36" spans="1:27">
      <c r="A36" s="7">
        <v>0.39067129629629632</v>
      </c>
      <c r="B36" s="4" t="s">
        <v>21</v>
      </c>
      <c r="C36" s="4" t="s">
        <v>8</v>
      </c>
      <c r="D36" s="12">
        <v>73720</v>
      </c>
      <c r="E36" s="12">
        <v>3</v>
      </c>
      <c r="F36" s="13">
        <f t="shared" si="0"/>
        <v>-221160</v>
      </c>
      <c r="G36" s="17"/>
      <c r="H36" s="17"/>
      <c r="I36" s="27">
        <v>0.38575231481481481</v>
      </c>
      <c r="J36" t="s">
        <v>14</v>
      </c>
      <c r="K36" t="s">
        <v>8</v>
      </c>
      <c r="L36">
        <v>2.4950000000000001</v>
      </c>
      <c r="M36">
        <v>1</v>
      </c>
      <c r="N36">
        <f t="shared" si="2"/>
        <v>-2.4950000000000001</v>
      </c>
      <c r="T36" s="12">
        <v>35</v>
      </c>
      <c r="U36" s="7">
        <v>0.8414814814814815</v>
      </c>
      <c r="V36" s="4" t="s">
        <v>23</v>
      </c>
      <c r="W36" s="4" t="s">
        <v>7</v>
      </c>
      <c r="X36" s="12">
        <v>72767</v>
      </c>
      <c r="Y36" s="12">
        <v>1</v>
      </c>
      <c r="Z36" s="4" t="s">
        <v>22</v>
      </c>
      <c r="AA36" s="13">
        <f t="shared" si="1"/>
        <v>72767</v>
      </c>
    </row>
    <row r="37" spans="1:27">
      <c r="A37" s="7">
        <v>0.39053240740740741</v>
      </c>
      <c r="B37" s="4" t="s">
        <v>21</v>
      </c>
      <c r="C37" s="4" t="s">
        <v>8</v>
      </c>
      <c r="D37" s="12">
        <v>73720</v>
      </c>
      <c r="E37" s="12">
        <v>2</v>
      </c>
      <c r="F37" s="13">
        <f t="shared" si="0"/>
        <v>-147440</v>
      </c>
      <c r="G37" s="17"/>
      <c r="H37" s="17"/>
      <c r="I37" s="27">
        <v>0.38483796296296297</v>
      </c>
      <c r="J37" t="s">
        <v>14</v>
      </c>
      <c r="K37" t="s">
        <v>8</v>
      </c>
      <c r="L37">
        <v>2.4950000000000001</v>
      </c>
      <c r="M37">
        <v>1</v>
      </c>
      <c r="N37">
        <f t="shared" si="2"/>
        <v>-2.4950000000000001</v>
      </c>
      <c r="T37" s="12">
        <v>36</v>
      </c>
      <c r="U37" s="7">
        <v>0.84146990740740746</v>
      </c>
      <c r="V37" s="4" t="s">
        <v>21</v>
      </c>
      <c r="W37" s="4" t="s">
        <v>8</v>
      </c>
      <c r="X37" s="12">
        <v>73540</v>
      </c>
      <c r="Y37" s="12">
        <v>2</v>
      </c>
      <c r="Z37" s="4" t="s">
        <v>22</v>
      </c>
      <c r="AA37" s="13">
        <f t="shared" si="1"/>
        <v>-147080</v>
      </c>
    </row>
    <row r="38" spans="1:27">
      <c r="A38" s="7">
        <v>0.39050925925925928</v>
      </c>
      <c r="B38" s="4" t="s">
        <v>23</v>
      </c>
      <c r="C38" s="4" t="s">
        <v>7</v>
      </c>
      <c r="D38" s="12">
        <v>72948</v>
      </c>
      <c r="E38" s="12">
        <v>49</v>
      </c>
      <c r="F38" s="13">
        <f t="shared" si="0"/>
        <v>3574452</v>
      </c>
      <c r="G38" s="17"/>
      <c r="H38" s="17"/>
      <c r="I38" s="27">
        <v>0.37679398148148152</v>
      </c>
      <c r="J38" t="s">
        <v>14</v>
      </c>
      <c r="K38" t="s">
        <v>7</v>
      </c>
      <c r="L38">
        <v>2.4980000000000002</v>
      </c>
      <c r="M38">
        <v>60</v>
      </c>
      <c r="N38">
        <f t="shared" si="2"/>
        <v>149.88000000000002</v>
      </c>
      <c r="T38" s="12">
        <v>37</v>
      </c>
      <c r="U38" s="7">
        <v>0.84146990740740746</v>
      </c>
      <c r="V38" s="4" t="s">
        <v>23</v>
      </c>
      <c r="W38" s="4" t="s">
        <v>7</v>
      </c>
      <c r="X38" s="12">
        <v>72767</v>
      </c>
      <c r="Y38" s="12">
        <v>2</v>
      </c>
      <c r="Z38" s="4" t="s">
        <v>22</v>
      </c>
      <c r="AA38" s="13">
        <f t="shared" si="1"/>
        <v>145534</v>
      </c>
    </row>
    <row r="39" spans="1:27">
      <c r="A39" s="7">
        <v>0.39048611111111109</v>
      </c>
      <c r="B39" s="4" t="s">
        <v>21</v>
      </c>
      <c r="C39" s="4" t="s">
        <v>8</v>
      </c>
      <c r="D39" s="12">
        <v>73720</v>
      </c>
      <c r="E39" s="12">
        <v>4</v>
      </c>
      <c r="F39" s="13">
        <f t="shared" si="0"/>
        <v>-294880</v>
      </c>
      <c r="G39" s="17"/>
      <c r="H39" s="17"/>
      <c r="I39" s="27">
        <v>0.36822916666666666</v>
      </c>
      <c r="J39" t="s">
        <v>14</v>
      </c>
      <c r="K39" t="s">
        <v>7</v>
      </c>
      <c r="L39">
        <v>2.4990000000000001</v>
      </c>
      <c r="M39">
        <v>10</v>
      </c>
      <c r="N39">
        <f t="shared" si="2"/>
        <v>24.990000000000002</v>
      </c>
      <c r="T39" s="12">
        <v>38</v>
      </c>
      <c r="U39" s="7">
        <v>0.84144675925925927</v>
      </c>
      <c r="V39" s="4" t="s">
        <v>21</v>
      </c>
      <c r="W39" s="4" t="s">
        <v>8</v>
      </c>
      <c r="X39" s="12">
        <v>73540</v>
      </c>
      <c r="Y39" s="12">
        <v>3</v>
      </c>
      <c r="Z39" s="4" t="s">
        <v>22</v>
      </c>
      <c r="AA39" s="13">
        <f t="shared" si="1"/>
        <v>-220620</v>
      </c>
    </row>
    <row r="40" spans="1:27">
      <c r="A40" s="7">
        <v>0.39048611111111109</v>
      </c>
      <c r="B40" s="4" t="s">
        <v>21</v>
      </c>
      <c r="C40" s="4" t="s">
        <v>8</v>
      </c>
      <c r="D40" s="12">
        <v>73720</v>
      </c>
      <c r="E40" s="12">
        <v>10</v>
      </c>
      <c r="F40" s="13">
        <f t="shared" si="0"/>
        <v>-737200</v>
      </c>
      <c r="G40" s="17"/>
      <c r="H40" s="17"/>
      <c r="I40" s="27">
        <v>0.36822916666666666</v>
      </c>
      <c r="J40" t="s">
        <v>14</v>
      </c>
      <c r="K40" t="s">
        <v>7</v>
      </c>
      <c r="L40">
        <v>2.4980000000000002</v>
      </c>
      <c r="M40">
        <v>10</v>
      </c>
      <c r="N40">
        <f t="shared" si="2"/>
        <v>24.980000000000004</v>
      </c>
      <c r="T40" s="12">
        <v>39</v>
      </c>
      <c r="U40" s="7">
        <v>0.84144675925925927</v>
      </c>
      <c r="V40" s="4" t="s">
        <v>23</v>
      </c>
      <c r="W40" s="4" t="s">
        <v>7</v>
      </c>
      <c r="X40" s="12">
        <v>72765</v>
      </c>
      <c r="Y40" s="12">
        <v>3</v>
      </c>
      <c r="Z40" s="4" t="s">
        <v>22</v>
      </c>
      <c r="AA40" s="13">
        <f t="shared" si="1"/>
        <v>218295</v>
      </c>
    </row>
    <row r="41" spans="1:27">
      <c r="A41" s="7">
        <v>0.39035879629629627</v>
      </c>
      <c r="B41" s="4" t="s">
        <v>23</v>
      </c>
      <c r="C41" s="4" t="s">
        <v>7</v>
      </c>
      <c r="D41" s="12">
        <v>72948</v>
      </c>
      <c r="E41" s="12">
        <v>1</v>
      </c>
      <c r="F41" s="13">
        <f t="shared" si="0"/>
        <v>72948</v>
      </c>
      <c r="G41" s="17"/>
      <c r="H41" s="17"/>
      <c r="I41" s="27">
        <v>0.36587962962962961</v>
      </c>
      <c r="J41" t="s">
        <v>14</v>
      </c>
      <c r="K41" t="s">
        <v>8</v>
      </c>
      <c r="L41">
        <v>2.4950000000000001</v>
      </c>
      <c r="M41">
        <v>10</v>
      </c>
      <c r="N41">
        <f t="shared" si="2"/>
        <v>-24.950000000000003</v>
      </c>
      <c r="T41" s="12">
        <v>40</v>
      </c>
      <c r="U41" s="7">
        <v>0.8413194444444444</v>
      </c>
      <c r="V41" s="4" t="s">
        <v>21</v>
      </c>
      <c r="W41" s="4" t="s">
        <v>8</v>
      </c>
      <c r="X41" s="12">
        <v>73534</v>
      </c>
      <c r="Y41" s="12">
        <v>3</v>
      </c>
      <c r="Z41" s="4" t="s">
        <v>22</v>
      </c>
      <c r="AA41" s="13">
        <f t="shared" si="1"/>
        <v>-220602</v>
      </c>
    </row>
    <row r="42" spans="1:27">
      <c r="A42" s="7">
        <v>0.38990740740740742</v>
      </c>
      <c r="B42" s="4" t="s">
        <v>14</v>
      </c>
      <c r="C42" s="4" t="s">
        <v>8</v>
      </c>
      <c r="D42" s="12">
        <v>2.5</v>
      </c>
      <c r="E42" s="12">
        <v>2</v>
      </c>
      <c r="F42" s="13">
        <f t="shared" si="0"/>
        <v>-5</v>
      </c>
      <c r="G42" s="17"/>
      <c r="H42" s="17"/>
      <c r="I42" s="27">
        <v>0.35443287037037036</v>
      </c>
      <c r="J42" t="s">
        <v>14</v>
      </c>
      <c r="K42" t="s">
        <v>7</v>
      </c>
      <c r="L42">
        <v>2.5089999999999999</v>
      </c>
      <c r="M42">
        <v>4</v>
      </c>
      <c r="N42">
        <f t="shared" si="2"/>
        <v>10.036</v>
      </c>
      <c r="T42" s="12">
        <v>41</v>
      </c>
      <c r="U42" s="7">
        <v>0.8413194444444444</v>
      </c>
      <c r="V42" s="4" t="s">
        <v>23</v>
      </c>
      <c r="W42" s="4" t="s">
        <v>7</v>
      </c>
      <c r="X42" s="12">
        <v>72761</v>
      </c>
      <c r="Y42" s="12">
        <v>3</v>
      </c>
      <c r="Z42" s="4" t="s">
        <v>22</v>
      </c>
      <c r="AA42" s="13">
        <f t="shared" si="1"/>
        <v>218283</v>
      </c>
    </row>
    <row r="43" spans="1:27">
      <c r="A43" s="7">
        <v>0.38677083333333334</v>
      </c>
      <c r="B43" s="4" t="s">
        <v>14</v>
      </c>
      <c r="C43" s="4" t="s">
        <v>8</v>
      </c>
      <c r="D43" s="12">
        <v>2.5049999999999999</v>
      </c>
      <c r="E43" s="12">
        <v>1</v>
      </c>
      <c r="F43" s="13">
        <f t="shared" si="0"/>
        <v>-2.5049999999999999</v>
      </c>
      <c r="G43" s="17"/>
      <c r="H43" s="17"/>
      <c r="I43" s="27">
        <v>0.35428240740740741</v>
      </c>
      <c r="J43" t="s">
        <v>14</v>
      </c>
      <c r="K43" t="s">
        <v>7</v>
      </c>
      <c r="L43">
        <v>2.5070000000000001</v>
      </c>
      <c r="M43">
        <v>1</v>
      </c>
      <c r="N43">
        <f t="shared" si="2"/>
        <v>2.5070000000000001</v>
      </c>
      <c r="T43" s="12">
        <v>42</v>
      </c>
      <c r="U43" s="7">
        <v>0.8413194444444444</v>
      </c>
      <c r="V43" s="4" t="s">
        <v>21</v>
      </c>
      <c r="W43" s="4" t="s">
        <v>8</v>
      </c>
      <c r="X43" s="12">
        <v>73534</v>
      </c>
      <c r="Y43" s="12">
        <v>2</v>
      </c>
      <c r="Z43" s="4" t="s">
        <v>22</v>
      </c>
      <c r="AA43" s="13">
        <f t="shared" si="1"/>
        <v>-147068</v>
      </c>
    </row>
    <row r="44" spans="1:27">
      <c r="A44" s="7">
        <v>0.38677083333333334</v>
      </c>
      <c r="B44" s="4" t="s">
        <v>14</v>
      </c>
      <c r="C44" s="4" t="s">
        <v>8</v>
      </c>
      <c r="D44" s="12">
        <v>2.5049999999999999</v>
      </c>
      <c r="E44" s="12">
        <v>1</v>
      </c>
      <c r="F44" s="13">
        <f t="shared" si="0"/>
        <v>-2.5049999999999999</v>
      </c>
      <c r="G44" s="17"/>
      <c r="H44" s="17"/>
      <c r="I44" s="27">
        <v>0.35428240740740741</v>
      </c>
      <c r="J44" t="s">
        <v>14</v>
      </c>
      <c r="K44" t="s">
        <v>7</v>
      </c>
      <c r="L44">
        <v>2.5070000000000001</v>
      </c>
      <c r="M44">
        <v>2</v>
      </c>
      <c r="N44">
        <f t="shared" si="2"/>
        <v>5.0140000000000002</v>
      </c>
      <c r="T44" s="12">
        <v>43</v>
      </c>
      <c r="U44" s="7">
        <v>0.8413194444444444</v>
      </c>
      <c r="V44" s="4" t="s">
        <v>21</v>
      </c>
      <c r="W44" s="4" t="s">
        <v>8</v>
      </c>
      <c r="X44" s="12">
        <v>73534</v>
      </c>
      <c r="Y44" s="12">
        <v>1</v>
      </c>
      <c r="Z44" s="4" t="s">
        <v>22</v>
      </c>
      <c r="AA44" s="13">
        <f t="shared" si="1"/>
        <v>-73534</v>
      </c>
    </row>
    <row r="45" spans="1:27">
      <c r="A45" s="7">
        <v>0.38677083333333334</v>
      </c>
      <c r="B45" s="4" t="s">
        <v>14</v>
      </c>
      <c r="C45" s="4" t="s">
        <v>8</v>
      </c>
      <c r="D45" s="12">
        <v>2.5049999999999999</v>
      </c>
      <c r="E45" s="12">
        <v>2</v>
      </c>
      <c r="F45" s="13">
        <f t="shared" si="0"/>
        <v>-5.01</v>
      </c>
      <c r="G45" s="17"/>
      <c r="H45" s="17"/>
      <c r="I45" s="27">
        <v>0.35385416666666664</v>
      </c>
      <c r="J45" t="s">
        <v>14</v>
      </c>
      <c r="K45" t="s">
        <v>7</v>
      </c>
      <c r="L45">
        <v>2.5019999999999998</v>
      </c>
      <c r="M45">
        <v>5</v>
      </c>
      <c r="N45">
        <f t="shared" si="2"/>
        <v>12.509999999999998</v>
      </c>
      <c r="T45" s="12">
        <v>44</v>
      </c>
      <c r="U45" s="7">
        <v>0.8413194444444444</v>
      </c>
      <c r="V45" s="4" t="s">
        <v>23</v>
      </c>
      <c r="W45" s="4" t="s">
        <v>7</v>
      </c>
      <c r="X45" s="12">
        <v>72761</v>
      </c>
      <c r="Y45" s="12">
        <v>2</v>
      </c>
      <c r="Z45" s="4" t="s">
        <v>22</v>
      </c>
      <c r="AA45" s="13">
        <f t="shared" si="1"/>
        <v>145522</v>
      </c>
    </row>
    <row r="46" spans="1:27">
      <c r="A46" s="7">
        <v>0.38677083333333334</v>
      </c>
      <c r="B46" s="4" t="s">
        <v>14</v>
      </c>
      <c r="C46" s="4" t="s">
        <v>8</v>
      </c>
      <c r="D46" s="12">
        <v>2.5019999999999998</v>
      </c>
      <c r="E46" s="12">
        <v>1</v>
      </c>
      <c r="F46" s="13">
        <f t="shared" si="0"/>
        <v>-2.5019999999999998</v>
      </c>
      <c r="G46" s="17"/>
      <c r="H46" s="17"/>
      <c r="I46" s="27">
        <v>0.35385416666666664</v>
      </c>
      <c r="J46" t="s">
        <v>14</v>
      </c>
      <c r="K46" t="s">
        <v>7</v>
      </c>
      <c r="L46">
        <v>2.5019999999999998</v>
      </c>
      <c r="M46">
        <v>26</v>
      </c>
      <c r="N46">
        <f t="shared" si="2"/>
        <v>65.051999999999992</v>
      </c>
      <c r="T46" s="12">
        <v>45</v>
      </c>
      <c r="U46" s="7">
        <v>0.8413194444444444</v>
      </c>
      <c r="V46" s="4" t="s">
        <v>23</v>
      </c>
      <c r="W46" s="4" t="s">
        <v>7</v>
      </c>
      <c r="X46" s="12">
        <v>72761</v>
      </c>
      <c r="Y46" s="12">
        <v>1</v>
      </c>
      <c r="Z46" s="4" t="s">
        <v>22</v>
      </c>
      <c r="AA46" s="13">
        <f t="shared" si="1"/>
        <v>72761</v>
      </c>
    </row>
    <row r="47" spans="1:27">
      <c r="A47" s="7">
        <v>0.38575231481481481</v>
      </c>
      <c r="B47" s="4" t="s">
        <v>14</v>
      </c>
      <c r="C47" s="4" t="s">
        <v>8</v>
      </c>
      <c r="D47" s="12">
        <v>2.4980000000000002</v>
      </c>
      <c r="E47" s="12">
        <v>15</v>
      </c>
      <c r="F47" s="13">
        <f t="shared" si="0"/>
        <v>-37.470000000000006</v>
      </c>
      <c r="G47" s="17"/>
      <c r="H47" s="17"/>
      <c r="I47" s="27">
        <v>0.35357638888888893</v>
      </c>
      <c r="J47" t="s">
        <v>14</v>
      </c>
      <c r="K47" t="s">
        <v>7</v>
      </c>
      <c r="L47">
        <v>2.5049999999999999</v>
      </c>
      <c r="M47">
        <v>10</v>
      </c>
      <c r="N47">
        <f t="shared" si="2"/>
        <v>25.049999999999997</v>
      </c>
      <c r="T47" s="12">
        <v>46</v>
      </c>
      <c r="U47" s="7">
        <v>0.8411805555555556</v>
      </c>
      <c r="V47" s="4" t="s">
        <v>21</v>
      </c>
      <c r="W47" s="4" t="s">
        <v>8</v>
      </c>
      <c r="X47" s="12">
        <v>73539</v>
      </c>
      <c r="Y47" s="12">
        <v>1</v>
      </c>
      <c r="Z47" s="4" t="s">
        <v>22</v>
      </c>
      <c r="AA47" s="13">
        <f t="shared" si="1"/>
        <v>-73539</v>
      </c>
    </row>
    <row r="48" spans="1:27">
      <c r="A48" s="7">
        <v>0.38575231481481481</v>
      </c>
      <c r="B48" s="4" t="s">
        <v>14</v>
      </c>
      <c r="C48" s="4" t="s">
        <v>8</v>
      </c>
      <c r="D48" s="12">
        <v>2.4969999999999999</v>
      </c>
      <c r="E48" s="12">
        <v>1</v>
      </c>
      <c r="F48" s="13">
        <f t="shared" si="0"/>
        <v>-2.4969999999999999</v>
      </c>
      <c r="G48" s="17"/>
      <c r="H48" s="17"/>
      <c r="I48" s="27">
        <v>0.33681712962962962</v>
      </c>
      <c r="J48" t="s">
        <v>14</v>
      </c>
      <c r="K48" t="s">
        <v>7</v>
      </c>
      <c r="L48">
        <v>2.4940000000000002</v>
      </c>
      <c r="M48">
        <v>11</v>
      </c>
      <c r="N48">
        <f t="shared" si="2"/>
        <v>27.434000000000001</v>
      </c>
      <c r="T48" s="12">
        <v>47</v>
      </c>
      <c r="U48" s="7">
        <v>0.8411805555555556</v>
      </c>
      <c r="V48" s="4" t="s">
        <v>21</v>
      </c>
      <c r="W48" s="4" t="s">
        <v>8</v>
      </c>
      <c r="X48" s="12">
        <v>73540</v>
      </c>
      <c r="Y48" s="12">
        <v>2</v>
      </c>
      <c r="Z48" s="4" t="s">
        <v>22</v>
      </c>
      <c r="AA48" s="13">
        <f t="shared" si="1"/>
        <v>-147080</v>
      </c>
    </row>
    <row r="49" spans="1:27">
      <c r="A49" s="7">
        <v>0.38575231481481481</v>
      </c>
      <c r="B49" s="4" t="s">
        <v>14</v>
      </c>
      <c r="C49" s="4" t="s">
        <v>8</v>
      </c>
      <c r="D49" s="12">
        <v>2.496</v>
      </c>
      <c r="E49" s="12">
        <v>1</v>
      </c>
      <c r="F49" s="13">
        <f t="shared" si="0"/>
        <v>-2.496</v>
      </c>
      <c r="G49" s="17"/>
      <c r="H49" s="17"/>
      <c r="I49" s="27">
        <v>0.33649305555555559</v>
      </c>
      <c r="J49" t="s">
        <v>14</v>
      </c>
      <c r="K49" t="s">
        <v>7</v>
      </c>
      <c r="L49">
        <v>2.492</v>
      </c>
      <c r="M49">
        <v>41</v>
      </c>
      <c r="N49">
        <f t="shared" si="2"/>
        <v>102.172</v>
      </c>
      <c r="T49" s="12">
        <v>48</v>
      </c>
      <c r="U49" s="7">
        <v>0.8411805555555556</v>
      </c>
      <c r="V49" s="4" t="s">
        <v>23</v>
      </c>
      <c r="W49" s="4" t="s">
        <v>7</v>
      </c>
      <c r="X49" s="12">
        <v>72762</v>
      </c>
      <c r="Y49" s="12">
        <v>1</v>
      </c>
      <c r="Z49" s="4" t="s">
        <v>22</v>
      </c>
      <c r="AA49" s="13">
        <f t="shared" si="1"/>
        <v>72762</v>
      </c>
    </row>
    <row r="50" spans="1:27">
      <c r="A50" s="7">
        <v>0.38575231481481481</v>
      </c>
      <c r="B50" s="4" t="s">
        <v>14</v>
      </c>
      <c r="C50" s="4" t="s">
        <v>8</v>
      </c>
      <c r="D50" s="12">
        <v>2.4950000000000001</v>
      </c>
      <c r="E50" s="12">
        <v>1</v>
      </c>
      <c r="F50" s="13">
        <f t="shared" si="0"/>
        <v>-2.4950000000000001</v>
      </c>
      <c r="G50" s="17"/>
      <c r="H50" s="17"/>
      <c r="I50" s="27">
        <v>0.33320601851851855</v>
      </c>
      <c r="J50" t="s">
        <v>14</v>
      </c>
      <c r="K50" t="s">
        <v>7</v>
      </c>
      <c r="L50">
        <v>2.4860000000000002</v>
      </c>
      <c r="M50">
        <v>4</v>
      </c>
      <c r="N50">
        <f t="shared" si="2"/>
        <v>9.9440000000000008</v>
      </c>
      <c r="T50" s="12">
        <v>49</v>
      </c>
      <c r="U50" s="7">
        <v>0.8411805555555556</v>
      </c>
      <c r="V50" s="4" t="s">
        <v>23</v>
      </c>
      <c r="W50" s="4" t="s">
        <v>7</v>
      </c>
      <c r="X50" s="12">
        <v>72762</v>
      </c>
      <c r="Y50" s="12">
        <v>2</v>
      </c>
      <c r="Z50" s="4" t="s">
        <v>22</v>
      </c>
      <c r="AA50" s="13">
        <f t="shared" si="1"/>
        <v>145524</v>
      </c>
    </row>
    <row r="51" spans="1:27">
      <c r="A51" s="7">
        <v>0.38483796296296297</v>
      </c>
      <c r="B51" s="4" t="s">
        <v>14</v>
      </c>
      <c r="C51" s="4" t="s">
        <v>8</v>
      </c>
      <c r="D51" s="12">
        <v>2.4950000000000001</v>
      </c>
      <c r="E51" s="12">
        <v>1</v>
      </c>
      <c r="F51" s="13">
        <f t="shared" si="0"/>
        <v>-2.4950000000000001</v>
      </c>
      <c r="G51" s="17"/>
      <c r="H51" s="17"/>
      <c r="I51" s="27">
        <v>0.33271990740740742</v>
      </c>
      <c r="J51" t="s">
        <v>14</v>
      </c>
      <c r="K51" t="s">
        <v>7</v>
      </c>
      <c r="L51">
        <v>2.4849999999999999</v>
      </c>
      <c r="M51">
        <v>2</v>
      </c>
      <c r="N51">
        <f t="shared" si="2"/>
        <v>4.97</v>
      </c>
      <c r="T51" s="12">
        <v>50</v>
      </c>
      <c r="U51" s="7">
        <v>0.8411805555555556</v>
      </c>
      <c r="V51" s="4" t="s">
        <v>21</v>
      </c>
      <c r="W51" s="4" t="s">
        <v>8</v>
      </c>
      <c r="X51" s="12">
        <v>73535</v>
      </c>
      <c r="Y51" s="12">
        <v>3</v>
      </c>
      <c r="Z51" s="4" t="s">
        <v>22</v>
      </c>
      <c r="AA51" s="13">
        <f t="shared" si="1"/>
        <v>-220605</v>
      </c>
    </row>
    <row r="52" spans="1:27">
      <c r="A52" s="7">
        <v>0.37679398148148147</v>
      </c>
      <c r="B52" s="4" t="s">
        <v>14</v>
      </c>
      <c r="C52" s="4" t="s">
        <v>7</v>
      </c>
      <c r="D52" s="12">
        <v>2.4980000000000002</v>
      </c>
      <c r="E52" s="12">
        <v>60</v>
      </c>
      <c r="F52" s="13">
        <f t="shared" si="0"/>
        <v>149.88000000000002</v>
      </c>
      <c r="G52" s="17"/>
      <c r="H52" s="17"/>
      <c r="I52" s="27">
        <v>0.33178240740740739</v>
      </c>
      <c r="J52" t="s">
        <v>14</v>
      </c>
      <c r="K52" t="s">
        <v>7</v>
      </c>
      <c r="L52">
        <v>2.4830000000000001</v>
      </c>
      <c r="M52">
        <v>4</v>
      </c>
      <c r="N52">
        <f t="shared" si="2"/>
        <v>9.9320000000000004</v>
      </c>
      <c r="T52" s="12">
        <v>51</v>
      </c>
      <c r="U52" s="7">
        <v>0.8411805555555556</v>
      </c>
      <c r="V52" s="4" t="s">
        <v>23</v>
      </c>
      <c r="W52" s="4" t="s">
        <v>7</v>
      </c>
      <c r="X52" s="12">
        <v>72762</v>
      </c>
      <c r="Y52" s="12">
        <v>3</v>
      </c>
      <c r="Z52" s="4" t="s">
        <v>22</v>
      </c>
      <c r="AA52" s="13">
        <f t="shared" si="1"/>
        <v>218286</v>
      </c>
    </row>
    <row r="53" spans="1:27">
      <c r="A53" s="7">
        <v>0.37105324074074075</v>
      </c>
      <c r="B53" s="4" t="s">
        <v>21</v>
      </c>
      <c r="C53" s="4" t="s">
        <v>8</v>
      </c>
      <c r="D53" s="12">
        <v>73684</v>
      </c>
      <c r="E53" s="12">
        <v>7</v>
      </c>
      <c r="F53" s="13">
        <f t="shared" si="0"/>
        <v>-515788</v>
      </c>
      <c r="G53" s="17"/>
      <c r="H53" s="17"/>
      <c r="I53" s="27">
        <v>0.33178240740740739</v>
      </c>
      <c r="J53" t="s">
        <v>14</v>
      </c>
      <c r="K53" t="s">
        <v>7</v>
      </c>
      <c r="L53">
        <v>2.4830000000000001</v>
      </c>
      <c r="M53">
        <v>2</v>
      </c>
      <c r="N53">
        <f t="shared" si="2"/>
        <v>4.9660000000000002</v>
      </c>
      <c r="T53" s="12">
        <v>52</v>
      </c>
      <c r="U53" s="7">
        <v>0.84075231481481483</v>
      </c>
      <c r="V53" s="4" t="s">
        <v>21</v>
      </c>
      <c r="W53" s="4" t="s">
        <v>8</v>
      </c>
      <c r="X53" s="12">
        <v>73535</v>
      </c>
      <c r="Y53" s="12">
        <v>2</v>
      </c>
      <c r="Z53" s="4" t="s">
        <v>22</v>
      </c>
      <c r="AA53" s="13">
        <f t="shared" si="1"/>
        <v>-147070</v>
      </c>
    </row>
    <row r="54" spans="1:27">
      <c r="A54" s="7">
        <v>0.37105324074074075</v>
      </c>
      <c r="B54" s="4" t="s">
        <v>21</v>
      </c>
      <c r="C54" s="4" t="s">
        <v>8</v>
      </c>
      <c r="D54" s="12">
        <v>73684</v>
      </c>
      <c r="E54" s="12">
        <v>5</v>
      </c>
      <c r="F54" s="13">
        <f t="shared" si="0"/>
        <v>-368420</v>
      </c>
      <c r="G54" s="17"/>
      <c r="H54" s="17"/>
      <c r="I54" s="27">
        <v>0.33178240740740739</v>
      </c>
      <c r="J54" t="s">
        <v>14</v>
      </c>
      <c r="K54" t="s">
        <v>7</v>
      </c>
      <c r="L54">
        <v>2.484</v>
      </c>
      <c r="M54">
        <v>2</v>
      </c>
      <c r="N54">
        <f t="shared" si="2"/>
        <v>4.968</v>
      </c>
      <c r="T54" s="12">
        <v>53</v>
      </c>
      <c r="U54" s="7">
        <v>0.84075231481481483</v>
      </c>
      <c r="V54" s="4" t="s">
        <v>21</v>
      </c>
      <c r="W54" s="4" t="s">
        <v>8</v>
      </c>
      <c r="X54" s="12">
        <v>73535</v>
      </c>
      <c r="Y54" s="12">
        <v>1</v>
      </c>
      <c r="Z54" s="4" t="s">
        <v>22</v>
      </c>
      <c r="AA54" s="13">
        <f t="shared" si="1"/>
        <v>-73535</v>
      </c>
    </row>
    <row r="55" spans="1:27">
      <c r="A55" s="7">
        <v>0.37105324074074075</v>
      </c>
      <c r="B55" s="4" t="s">
        <v>21</v>
      </c>
      <c r="C55" s="4" t="s">
        <v>8</v>
      </c>
      <c r="D55" s="12">
        <v>73684</v>
      </c>
      <c r="E55" s="12">
        <v>5</v>
      </c>
      <c r="F55" s="13">
        <f t="shared" si="0"/>
        <v>-368420</v>
      </c>
      <c r="G55" s="17"/>
      <c r="H55" s="17"/>
      <c r="I55" s="27">
        <v>0.33177083333333335</v>
      </c>
      <c r="J55" t="s">
        <v>14</v>
      </c>
      <c r="K55" t="s">
        <v>7</v>
      </c>
      <c r="L55">
        <v>2.4849999999999999</v>
      </c>
      <c r="M55">
        <v>2</v>
      </c>
      <c r="N55">
        <f t="shared" si="2"/>
        <v>4.97</v>
      </c>
      <c r="T55" s="12">
        <v>54</v>
      </c>
      <c r="U55" s="7">
        <v>0.84075231481481483</v>
      </c>
      <c r="V55" s="4" t="s">
        <v>23</v>
      </c>
      <c r="W55" s="4" t="s">
        <v>7</v>
      </c>
      <c r="X55" s="12">
        <v>72762</v>
      </c>
      <c r="Y55" s="12">
        <v>2</v>
      </c>
      <c r="Z55" s="4" t="s">
        <v>22</v>
      </c>
      <c r="AA55" s="13">
        <f t="shared" si="1"/>
        <v>145524</v>
      </c>
    </row>
    <row r="56" spans="1:27">
      <c r="A56" s="7">
        <v>0.3709837962962963</v>
      </c>
      <c r="B56" s="4" t="s">
        <v>21</v>
      </c>
      <c r="C56" s="4" t="s">
        <v>8</v>
      </c>
      <c r="D56" s="12">
        <v>73684</v>
      </c>
      <c r="E56" s="12">
        <v>8</v>
      </c>
      <c r="F56" s="13">
        <f t="shared" si="0"/>
        <v>-589472</v>
      </c>
      <c r="G56" s="17"/>
      <c r="H56" s="17"/>
      <c r="I56" s="27">
        <v>0.33143518518518517</v>
      </c>
      <c r="J56" t="s">
        <v>14</v>
      </c>
      <c r="K56" t="s">
        <v>7</v>
      </c>
      <c r="L56">
        <v>2.484</v>
      </c>
      <c r="M56">
        <v>4</v>
      </c>
      <c r="N56">
        <f t="shared" si="2"/>
        <v>9.9359999999999999</v>
      </c>
      <c r="T56" s="12">
        <v>55</v>
      </c>
      <c r="U56" s="7">
        <v>0.84075231481481483</v>
      </c>
      <c r="V56" s="4" t="s">
        <v>23</v>
      </c>
      <c r="W56" s="4" t="s">
        <v>7</v>
      </c>
      <c r="X56" s="12">
        <v>72762</v>
      </c>
      <c r="Y56" s="12">
        <v>1</v>
      </c>
      <c r="Z56" s="4" t="s">
        <v>22</v>
      </c>
      <c r="AA56" s="13">
        <f t="shared" si="1"/>
        <v>72762</v>
      </c>
    </row>
    <row r="57" spans="1:27">
      <c r="A57" s="7">
        <v>0.3687037037037037</v>
      </c>
      <c r="B57" s="4" t="s">
        <v>23</v>
      </c>
      <c r="C57" s="4" t="s">
        <v>7</v>
      </c>
      <c r="D57" s="12">
        <v>72885</v>
      </c>
      <c r="E57" s="12">
        <v>25</v>
      </c>
      <c r="F57" s="13">
        <f t="shared" si="0"/>
        <v>1822125</v>
      </c>
      <c r="G57" s="17"/>
      <c r="H57" s="17"/>
      <c r="I57" s="27">
        <v>0.33141203703703703</v>
      </c>
      <c r="J57" t="s">
        <v>14</v>
      </c>
      <c r="K57" t="s">
        <v>7</v>
      </c>
      <c r="L57">
        <v>2.4830000000000001</v>
      </c>
      <c r="M57">
        <v>4</v>
      </c>
      <c r="N57">
        <f t="shared" si="2"/>
        <v>9.9320000000000004</v>
      </c>
      <c r="T57" s="12">
        <v>56</v>
      </c>
      <c r="U57" s="7">
        <v>0.84065972222222218</v>
      </c>
      <c r="V57" s="4" t="s">
        <v>21</v>
      </c>
      <c r="W57" s="4" t="s">
        <v>8</v>
      </c>
      <c r="X57" s="12">
        <v>73535</v>
      </c>
      <c r="Y57" s="12">
        <v>3</v>
      </c>
      <c r="Z57" s="4" t="s">
        <v>22</v>
      </c>
      <c r="AA57" s="13">
        <f t="shared" si="1"/>
        <v>-220605</v>
      </c>
    </row>
    <row r="58" spans="1:27">
      <c r="A58" s="7">
        <v>0.36822916666666666</v>
      </c>
      <c r="B58" s="4" t="s">
        <v>21</v>
      </c>
      <c r="C58" s="4" t="s">
        <v>8</v>
      </c>
      <c r="D58" s="12">
        <v>73659</v>
      </c>
      <c r="E58" s="12">
        <v>10</v>
      </c>
      <c r="F58" s="13">
        <f t="shared" si="0"/>
        <v>-736590</v>
      </c>
      <c r="G58" s="17"/>
      <c r="H58" s="17"/>
      <c r="I58" s="27">
        <v>0.33141203703703703</v>
      </c>
      <c r="J58" t="s">
        <v>14</v>
      </c>
      <c r="K58" t="s">
        <v>7</v>
      </c>
      <c r="L58">
        <v>2.4830000000000001</v>
      </c>
      <c r="M58">
        <v>3</v>
      </c>
      <c r="N58">
        <f t="shared" si="2"/>
        <v>7.4489999999999998</v>
      </c>
      <c r="T58" s="12">
        <v>57</v>
      </c>
      <c r="U58" s="7">
        <v>0.84065972222222218</v>
      </c>
      <c r="V58" s="4" t="s">
        <v>23</v>
      </c>
      <c r="W58" s="4" t="s">
        <v>7</v>
      </c>
      <c r="X58" s="12">
        <v>72762</v>
      </c>
      <c r="Y58" s="12">
        <v>3</v>
      </c>
      <c r="Z58" s="4" t="s">
        <v>22</v>
      </c>
      <c r="AA58" s="13">
        <f t="shared" si="1"/>
        <v>218286</v>
      </c>
    </row>
    <row r="59" spans="1:27">
      <c r="A59" s="7">
        <v>0.36822916666666666</v>
      </c>
      <c r="B59" s="4" t="s">
        <v>21</v>
      </c>
      <c r="C59" s="4" t="s">
        <v>8</v>
      </c>
      <c r="D59" s="12">
        <v>73659</v>
      </c>
      <c r="E59" s="12">
        <v>5</v>
      </c>
      <c r="F59" s="13">
        <f t="shared" si="0"/>
        <v>-368295</v>
      </c>
      <c r="G59" s="17"/>
      <c r="H59" s="17"/>
      <c r="I59" s="27">
        <v>0.32832175925925927</v>
      </c>
      <c r="J59" t="s">
        <v>14</v>
      </c>
      <c r="K59" t="s">
        <v>7</v>
      </c>
      <c r="L59">
        <v>2.4830000000000001</v>
      </c>
      <c r="M59">
        <v>1</v>
      </c>
      <c r="N59">
        <f t="shared" si="2"/>
        <v>2.4830000000000001</v>
      </c>
      <c r="T59" s="12">
        <v>58</v>
      </c>
      <c r="U59" s="7">
        <v>0.84065972222222218</v>
      </c>
      <c r="V59" s="4" t="s">
        <v>21</v>
      </c>
      <c r="W59" s="4" t="s">
        <v>8</v>
      </c>
      <c r="X59" s="12">
        <v>73535</v>
      </c>
      <c r="Y59" s="12">
        <v>3</v>
      </c>
      <c r="Z59" s="4" t="s">
        <v>22</v>
      </c>
      <c r="AA59" s="13">
        <f t="shared" si="1"/>
        <v>-220605</v>
      </c>
    </row>
    <row r="60" spans="1:27">
      <c r="A60" s="7">
        <v>0.36822916666666666</v>
      </c>
      <c r="B60" s="4" t="s">
        <v>21</v>
      </c>
      <c r="C60" s="4" t="s">
        <v>8</v>
      </c>
      <c r="D60" s="12">
        <v>73659</v>
      </c>
      <c r="E60" s="12">
        <v>1</v>
      </c>
      <c r="F60" s="13">
        <f t="shared" si="0"/>
        <v>-73659</v>
      </c>
      <c r="G60" s="17"/>
      <c r="H60" s="17"/>
      <c r="I60" s="27">
        <v>0.31961805555555556</v>
      </c>
      <c r="J60" t="s">
        <v>14</v>
      </c>
      <c r="K60" t="s">
        <v>7</v>
      </c>
      <c r="L60">
        <v>2.48</v>
      </c>
      <c r="M60">
        <v>1</v>
      </c>
      <c r="N60">
        <f t="shared" si="2"/>
        <v>2.48</v>
      </c>
      <c r="T60" s="12">
        <v>59</v>
      </c>
      <c r="U60" s="7">
        <v>0.84065972222222218</v>
      </c>
      <c r="V60" s="4" t="s">
        <v>23</v>
      </c>
      <c r="W60" s="4" t="s">
        <v>7</v>
      </c>
      <c r="X60" s="12">
        <v>72762</v>
      </c>
      <c r="Y60" s="12">
        <v>3</v>
      </c>
      <c r="Z60" s="4" t="s">
        <v>22</v>
      </c>
      <c r="AA60" s="13">
        <f t="shared" si="1"/>
        <v>218286</v>
      </c>
    </row>
    <row r="61" spans="1:27">
      <c r="A61" s="7">
        <v>0.36822916666666666</v>
      </c>
      <c r="B61" s="4" t="s">
        <v>21</v>
      </c>
      <c r="C61" s="4" t="s">
        <v>8</v>
      </c>
      <c r="D61" s="12">
        <v>73659</v>
      </c>
      <c r="E61" s="12">
        <v>9</v>
      </c>
      <c r="F61" s="13">
        <f t="shared" si="0"/>
        <v>-662931</v>
      </c>
      <c r="G61" s="17"/>
      <c r="H61" s="17"/>
      <c r="I61" s="27">
        <v>0.31961805555555556</v>
      </c>
      <c r="J61" t="s">
        <v>14</v>
      </c>
      <c r="K61" t="s">
        <v>7</v>
      </c>
      <c r="L61">
        <v>2.48</v>
      </c>
      <c r="M61">
        <v>1</v>
      </c>
      <c r="N61">
        <f t="shared" si="2"/>
        <v>2.48</v>
      </c>
      <c r="T61" s="12">
        <v>60</v>
      </c>
      <c r="U61" s="7">
        <v>0.84065972222222218</v>
      </c>
      <c r="V61" s="4" t="s">
        <v>21</v>
      </c>
      <c r="W61" s="4" t="s">
        <v>8</v>
      </c>
      <c r="X61" s="12">
        <v>73535</v>
      </c>
      <c r="Y61" s="12">
        <v>3</v>
      </c>
      <c r="Z61" s="4" t="s">
        <v>22</v>
      </c>
      <c r="AA61" s="13">
        <f t="shared" si="1"/>
        <v>-220605</v>
      </c>
    </row>
    <row r="62" spans="1:27">
      <c r="A62" s="7">
        <v>0.36822916666666666</v>
      </c>
      <c r="B62" s="4" t="s">
        <v>14</v>
      </c>
      <c r="C62" s="4" t="s">
        <v>7</v>
      </c>
      <c r="D62" s="12">
        <v>2.4990000000000001</v>
      </c>
      <c r="E62" s="12">
        <v>10</v>
      </c>
      <c r="F62" s="13">
        <f t="shared" si="0"/>
        <v>24.990000000000002</v>
      </c>
      <c r="G62" s="17"/>
      <c r="H62" s="17"/>
      <c r="I62" s="27">
        <v>0.31961805555555556</v>
      </c>
      <c r="J62" t="s">
        <v>14</v>
      </c>
      <c r="K62" t="s">
        <v>7</v>
      </c>
      <c r="L62">
        <v>2.48</v>
      </c>
      <c r="M62">
        <v>3</v>
      </c>
      <c r="N62">
        <f t="shared" si="2"/>
        <v>7.4399999999999995</v>
      </c>
      <c r="T62" s="12">
        <v>61</v>
      </c>
      <c r="U62" s="7">
        <v>0.84065972222222218</v>
      </c>
      <c r="V62" s="4" t="s">
        <v>23</v>
      </c>
      <c r="W62" s="4" t="s">
        <v>7</v>
      </c>
      <c r="X62" s="12">
        <v>72762</v>
      </c>
      <c r="Y62" s="12">
        <v>3</v>
      </c>
      <c r="Z62" s="4" t="s">
        <v>22</v>
      </c>
      <c r="AA62" s="13">
        <f t="shared" si="1"/>
        <v>218286</v>
      </c>
    </row>
    <row r="63" spans="1:27">
      <c r="A63" s="7">
        <v>0.36822916666666666</v>
      </c>
      <c r="B63" s="4" t="s">
        <v>14</v>
      </c>
      <c r="C63" s="4" t="s">
        <v>7</v>
      </c>
      <c r="D63" s="12">
        <v>2.4980000000000002</v>
      </c>
      <c r="E63" s="12">
        <v>10</v>
      </c>
      <c r="F63" s="13">
        <f t="shared" si="0"/>
        <v>24.980000000000004</v>
      </c>
      <c r="G63" s="17"/>
      <c r="H63" s="17"/>
      <c r="I63" s="27">
        <v>0.31961805555555556</v>
      </c>
      <c r="J63" t="s">
        <v>14</v>
      </c>
      <c r="K63" t="s">
        <v>7</v>
      </c>
      <c r="L63">
        <v>2.48</v>
      </c>
      <c r="M63">
        <v>1</v>
      </c>
      <c r="N63">
        <f t="shared" si="2"/>
        <v>2.48</v>
      </c>
      <c r="T63" s="12">
        <v>62</v>
      </c>
      <c r="U63" s="7">
        <v>0.84065972222222218</v>
      </c>
      <c r="V63" s="4" t="s">
        <v>21</v>
      </c>
      <c r="W63" s="4" t="s">
        <v>8</v>
      </c>
      <c r="X63" s="12">
        <v>73535</v>
      </c>
      <c r="Y63" s="12">
        <v>3</v>
      </c>
      <c r="Z63" s="4" t="s">
        <v>22</v>
      </c>
      <c r="AA63" s="13">
        <f t="shared" si="1"/>
        <v>-220605</v>
      </c>
    </row>
    <row r="64" spans="1:27">
      <c r="A64" s="7">
        <v>0.36799768518518516</v>
      </c>
      <c r="B64" s="4" t="s">
        <v>23</v>
      </c>
      <c r="C64" s="4" t="s">
        <v>7</v>
      </c>
      <c r="D64" s="12">
        <v>72887</v>
      </c>
      <c r="E64" s="12">
        <v>25</v>
      </c>
      <c r="F64" s="13">
        <f t="shared" si="0"/>
        <v>1822175</v>
      </c>
      <c r="G64" s="17"/>
      <c r="H64" s="17"/>
      <c r="I64" s="27">
        <v>0.31961805555555556</v>
      </c>
      <c r="J64" t="s">
        <v>14</v>
      </c>
      <c r="K64" t="s">
        <v>7</v>
      </c>
      <c r="L64">
        <v>2.48</v>
      </c>
      <c r="M64">
        <v>1</v>
      </c>
      <c r="N64">
        <f t="shared" si="2"/>
        <v>2.48</v>
      </c>
      <c r="T64" s="12">
        <v>63</v>
      </c>
      <c r="U64" s="7">
        <v>0.84065972222222218</v>
      </c>
      <c r="V64" s="4" t="s">
        <v>23</v>
      </c>
      <c r="W64" s="4" t="s">
        <v>7</v>
      </c>
      <c r="X64" s="12">
        <v>72762</v>
      </c>
      <c r="Y64" s="12">
        <v>3</v>
      </c>
      <c r="Z64" s="4" t="s">
        <v>22</v>
      </c>
      <c r="AA64" s="13">
        <f t="shared" si="1"/>
        <v>218286</v>
      </c>
    </row>
    <row r="65" spans="1:27">
      <c r="A65" s="7">
        <v>0.36738425925925927</v>
      </c>
      <c r="B65" s="4" t="s">
        <v>21</v>
      </c>
      <c r="C65" s="4" t="s">
        <v>8</v>
      </c>
      <c r="D65" s="12">
        <v>73660</v>
      </c>
      <c r="E65" s="12">
        <v>14</v>
      </c>
      <c r="F65" s="13">
        <f t="shared" si="0"/>
        <v>-1031240</v>
      </c>
      <c r="G65" s="17"/>
      <c r="H65" s="17"/>
      <c r="I65" s="27">
        <v>0.31721064814814814</v>
      </c>
      <c r="J65" t="s">
        <v>14</v>
      </c>
      <c r="K65" t="s">
        <v>7</v>
      </c>
      <c r="L65">
        <v>2.4830000000000001</v>
      </c>
      <c r="M65">
        <v>3</v>
      </c>
      <c r="N65">
        <f t="shared" si="2"/>
        <v>7.4489999999999998</v>
      </c>
      <c r="T65" s="12">
        <v>64</v>
      </c>
      <c r="U65" s="7">
        <v>0.84065972222222218</v>
      </c>
      <c r="V65" s="4" t="s">
        <v>21</v>
      </c>
      <c r="W65" s="4" t="s">
        <v>8</v>
      </c>
      <c r="X65" s="12">
        <v>73535</v>
      </c>
      <c r="Y65" s="12">
        <v>3</v>
      </c>
      <c r="Z65" s="4" t="s">
        <v>22</v>
      </c>
      <c r="AA65" s="13">
        <f t="shared" si="1"/>
        <v>-220605</v>
      </c>
    </row>
    <row r="66" spans="1:27">
      <c r="A66" s="7">
        <v>0.36738425925925927</v>
      </c>
      <c r="B66" s="4" t="s">
        <v>21</v>
      </c>
      <c r="C66" s="4" t="s">
        <v>8</v>
      </c>
      <c r="D66" s="12">
        <v>73660</v>
      </c>
      <c r="E66" s="12">
        <v>2</v>
      </c>
      <c r="F66" s="13">
        <f t="shared" si="0"/>
        <v>-147320</v>
      </c>
      <c r="G66" s="17"/>
      <c r="H66" s="17"/>
      <c r="I66" s="27">
        <v>0.31458333333333333</v>
      </c>
      <c r="J66" t="s">
        <v>14</v>
      </c>
      <c r="K66" t="s">
        <v>7</v>
      </c>
      <c r="L66">
        <v>2.4830000000000001</v>
      </c>
      <c r="M66">
        <v>2</v>
      </c>
      <c r="N66">
        <f t="shared" si="2"/>
        <v>4.9660000000000002</v>
      </c>
      <c r="T66" s="12">
        <v>65</v>
      </c>
      <c r="U66" s="7">
        <v>0.84065972222222218</v>
      </c>
      <c r="V66" s="4" t="s">
        <v>23</v>
      </c>
      <c r="W66" s="4" t="s">
        <v>7</v>
      </c>
      <c r="X66" s="12">
        <v>72762</v>
      </c>
      <c r="Y66" s="12">
        <v>3</v>
      </c>
      <c r="Z66" s="4" t="s">
        <v>22</v>
      </c>
      <c r="AA66" s="13">
        <f t="shared" si="1"/>
        <v>218286</v>
      </c>
    </row>
    <row r="67" spans="1:27">
      <c r="A67" s="7">
        <v>0.36738425925925927</v>
      </c>
      <c r="B67" s="4" t="s">
        <v>21</v>
      </c>
      <c r="C67" s="4" t="s">
        <v>8</v>
      </c>
      <c r="D67" s="12">
        <v>73660</v>
      </c>
      <c r="E67" s="12">
        <v>1</v>
      </c>
      <c r="F67" s="13">
        <f t="shared" si="0"/>
        <v>-73660</v>
      </c>
      <c r="G67" s="17"/>
      <c r="H67" s="17"/>
      <c r="I67" s="27">
        <v>0.30450231481481482</v>
      </c>
      <c r="J67" t="s">
        <v>14</v>
      </c>
      <c r="K67" t="s">
        <v>7</v>
      </c>
      <c r="L67">
        <v>2.4830000000000001</v>
      </c>
      <c r="M67">
        <v>3</v>
      </c>
      <c r="N67">
        <f t="shared" ref="N67:N74" si="3">IF(K67="Продажа",M67*L67,-M67*L67)</f>
        <v>7.4489999999999998</v>
      </c>
      <c r="T67" s="12">
        <v>66</v>
      </c>
      <c r="U67" s="7">
        <v>0.84065972222222218</v>
      </c>
      <c r="V67" s="4" t="s">
        <v>21</v>
      </c>
      <c r="W67" s="4" t="s">
        <v>8</v>
      </c>
      <c r="X67" s="12">
        <v>73535</v>
      </c>
      <c r="Y67" s="12">
        <v>3</v>
      </c>
      <c r="Z67" s="4" t="s">
        <v>22</v>
      </c>
      <c r="AA67" s="13">
        <f t="shared" si="1"/>
        <v>-220605</v>
      </c>
    </row>
    <row r="68" spans="1:27">
      <c r="A68" s="7">
        <v>0.36738425925925927</v>
      </c>
      <c r="B68" s="4" t="s">
        <v>21</v>
      </c>
      <c r="C68" s="4" t="s">
        <v>8</v>
      </c>
      <c r="D68" s="12">
        <v>73660</v>
      </c>
      <c r="E68" s="12">
        <v>1</v>
      </c>
      <c r="F68" s="13">
        <f t="shared" si="0"/>
        <v>-73660</v>
      </c>
      <c r="G68" s="17"/>
      <c r="H68" s="17"/>
      <c r="I68" s="27">
        <v>0.30350694444444443</v>
      </c>
      <c r="J68" t="s">
        <v>14</v>
      </c>
      <c r="K68" t="s">
        <v>7</v>
      </c>
      <c r="L68">
        <v>2.4830000000000001</v>
      </c>
      <c r="M68">
        <v>3</v>
      </c>
      <c r="N68">
        <f t="shared" si="3"/>
        <v>7.4489999999999998</v>
      </c>
      <c r="T68" s="12">
        <v>67</v>
      </c>
      <c r="U68" s="7">
        <v>0.84065972222222218</v>
      </c>
      <c r="V68" s="4" t="s">
        <v>23</v>
      </c>
      <c r="W68" s="4" t="s">
        <v>7</v>
      </c>
      <c r="X68" s="12">
        <v>72762</v>
      </c>
      <c r="Y68" s="12">
        <v>3</v>
      </c>
      <c r="Z68" s="4" t="s">
        <v>22</v>
      </c>
      <c r="AA68" s="13">
        <f t="shared" si="1"/>
        <v>218286</v>
      </c>
    </row>
    <row r="69" spans="1:27">
      <c r="A69" s="7">
        <v>0.36738425925925927</v>
      </c>
      <c r="B69" s="4" t="s">
        <v>21</v>
      </c>
      <c r="C69" s="4" t="s">
        <v>8</v>
      </c>
      <c r="D69" s="12">
        <v>73660</v>
      </c>
      <c r="E69" s="12">
        <v>1</v>
      </c>
      <c r="F69" s="13">
        <f t="shared" si="0"/>
        <v>-73660</v>
      </c>
      <c r="G69" s="17"/>
      <c r="H69" s="17"/>
      <c r="I69" s="27">
        <v>0.30064814814814816</v>
      </c>
      <c r="J69" t="s">
        <v>14</v>
      </c>
      <c r="K69" t="s">
        <v>7</v>
      </c>
      <c r="L69">
        <v>2.4830000000000001</v>
      </c>
      <c r="M69">
        <v>4</v>
      </c>
      <c r="N69">
        <f t="shared" si="3"/>
        <v>9.9320000000000004</v>
      </c>
      <c r="T69" s="12">
        <v>68</v>
      </c>
      <c r="U69" s="7">
        <v>0.84065972222222218</v>
      </c>
      <c r="V69" s="4" t="s">
        <v>21</v>
      </c>
      <c r="W69" s="4" t="s">
        <v>8</v>
      </c>
      <c r="X69" s="12">
        <v>73535</v>
      </c>
      <c r="Y69" s="12">
        <v>3</v>
      </c>
      <c r="Z69" s="4" t="s">
        <v>22</v>
      </c>
      <c r="AA69" s="13">
        <f t="shared" si="1"/>
        <v>-220605</v>
      </c>
    </row>
    <row r="70" spans="1:27">
      <c r="A70" s="7">
        <v>0.36738425925925927</v>
      </c>
      <c r="B70" s="4" t="s">
        <v>21</v>
      </c>
      <c r="C70" s="4" t="s">
        <v>8</v>
      </c>
      <c r="D70" s="12">
        <v>73660</v>
      </c>
      <c r="E70" s="12">
        <v>2</v>
      </c>
      <c r="F70" s="13">
        <f t="shared" si="0"/>
        <v>-147320</v>
      </c>
      <c r="G70" s="17"/>
      <c r="H70" s="17"/>
      <c r="I70" s="27">
        <v>0.29949074074074072</v>
      </c>
      <c r="J70" t="s">
        <v>14</v>
      </c>
      <c r="K70" t="s">
        <v>7</v>
      </c>
      <c r="L70">
        <v>2.4830000000000001</v>
      </c>
      <c r="M70">
        <v>4</v>
      </c>
      <c r="N70">
        <f t="shared" si="3"/>
        <v>9.9320000000000004</v>
      </c>
      <c r="T70" s="12">
        <v>69</v>
      </c>
      <c r="U70" s="7">
        <v>0.84065972222222218</v>
      </c>
      <c r="V70" s="4" t="s">
        <v>23</v>
      </c>
      <c r="W70" s="4" t="s">
        <v>7</v>
      </c>
      <c r="X70" s="12">
        <v>72762</v>
      </c>
      <c r="Y70" s="12">
        <v>3</v>
      </c>
      <c r="Z70" s="4" t="s">
        <v>22</v>
      </c>
      <c r="AA70" s="13">
        <f t="shared" si="1"/>
        <v>218286</v>
      </c>
    </row>
    <row r="71" spans="1:27">
      <c r="A71" s="7">
        <v>0.36737268518518518</v>
      </c>
      <c r="B71" s="4" t="s">
        <v>21</v>
      </c>
      <c r="C71" s="4" t="s">
        <v>8</v>
      </c>
      <c r="D71" s="12">
        <v>73660</v>
      </c>
      <c r="E71" s="12">
        <v>1</v>
      </c>
      <c r="F71" s="13">
        <f t="shared" si="0"/>
        <v>-73660</v>
      </c>
      <c r="G71" s="17"/>
      <c r="H71" s="17"/>
      <c r="I71" s="27">
        <v>0.299375</v>
      </c>
      <c r="J71" t="s">
        <v>14</v>
      </c>
      <c r="K71" t="s">
        <v>7</v>
      </c>
      <c r="L71">
        <v>2.4830000000000001</v>
      </c>
      <c r="M71">
        <v>3</v>
      </c>
      <c r="N71">
        <f t="shared" si="3"/>
        <v>7.4489999999999998</v>
      </c>
      <c r="T71" s="12">
        <v>70</v>
      </c>
      <c r="U71" s="7">
        <v>0.84065972222222218</v>
      </c>
      <c r="V71" s="4" t="s">
        <v>21</v>
      </c>
      <c r="W71" s="4" t="s">
        <v>8</v>
      </c>
      <c r="X71" s="12">
        <v>73535</v>
      </c>
      <c r="Y71" s="12">
        <v>3</v>
      </c>
      <c r="Z71" s="4" t="s">
        <v>22</v>
      </c>
      <c r="AA71" s="13">
        <f t="shared" si="1"/>
        <v>-220605</v>
      </c>
    </row>
    <row r="72" spans="1:27">
      <c r="A72" s="7">
        <v>0.36732638888888891</v>
      </c>
      <c r="B72" s="4" t="s">
        <v>21</v>
      </c>
      <c r="C72" s="4" t="s">
        <v>8</v>
      </c>
      <c r="D72" s="12">
        <v>73660</v>
      </c>
      <c r="E72" s="12">
        <v>1</v>
      </c>
      <c r="F72" s="13">
        <f t="shared" si="0"/>
        <v>-73660</v>
      </c>
      <c r="G72" s="17"/>
      <c r="H72" s="17"/>
      <c r="I72" s="27">
        <v>0.299375</v>
      </c>
      <c r="J72" t="s">
        <v>14</v>
      </c>
      <c r="K72" t="s">
        <v>7</v>
      </c>
      <c r="L72">
        <v>2.4830000000000001</v>
      </c>
      <c r="M72">
        <v>1</v>
      </c>
      <c r="N72">
        <f t="shared" si="3"/>
        <v>2.4830000000000001</v>
      </c>
      <c r="T72" s="12">
        <v>71</v>
      </c>
      <c r="U72" s="7">
        <v>0.84065972222222218</v>
      </c>
      <c r="V72" s="4" t="s">
        <v>23</v>
      </c>
      <c r="W72" s="4" t="s">
        <v>7</v>
      </c>
      <c r="X72" s="12">
        <v>72762</v>
      </c>
      <c r="Y72" s="12">
        <v>3</v>
      </c>
      <c r="Z72" s="4" t="s">
        <v>22</v>
      </c>
      <c r="AA72" s="13">
        <f t="shared" si="1"/>
        <v>218286</v>
      </c>
    </row>
    <row r="73" spans="1:27">
      <c r="A73" s="7">
        <v>0.36732638888888891</v>
      </c>
      <c r="B73" s="4" t="s">
        <v>21</v>
      </c>
      <c r="C73" s="4" t="s">
        <v>8</v>
      </c>
      <c r="D73" s="12">
        <v>73660</v>
      </c>
      <c r="E73" s="12">
        <v>1</v>
      </c>
      <c r="F73" s="13">
        <f t="shared" si="0"/>
        <v>-73660</v>
      </c>
      <c r="G73" s="17"/>
      <c r="H73" s="17"/>
      <c r="I73" s="27">
        <v>0.29909722222222224</v>
      </c>
      <c r="J73" t="s">
        <v>14</v>
      </c>
      <c r="K73" t="s">
        <v>7</v>
      </c>
      <c r="L73">
        <v>2.4830000000000001</v>
      </c>
      <c r="M73">
        <v>1</v>
      </c>
      <c r="N73">
        <f t="shared" si="3"/>
        <v>2.4830000000000001</v>
      </c>
      <c r="T73" s="12">
        <v>72</v>
      </c>
      <c r="U73" s="7">
        <v>0.84065972222222218</v>
      </c>
      <c r="V73" s="4" t="s">
        <v>21</v>
      </c>
      <c r="W73" s="4" t="s">
        <v>8</v>
      </c>
      <c r="X73" s="12">
        <v>73535</v>
      </c>
      <c r="Y73" s="12">
        <v>1</v>
      </c>
      <c r="Z73" s="4" t="s">
        <v>22</v>
      </c>
      <c r="AA73" s="13">
        <f t="shared" si="1"/>
        <v>-73535</v>
      </c>
    </row>
    <row r="74" spans="1:27">
      <c r="A74" s="7">
        <v>0.36732638888888891</v>
      </c>
      <c r="B74" s="4" t="s">
        <v>21</v>
      </c>
      <c r="C74" s="4" t="s">
        <v>8</v>
      </c>
      <c r="D74" s="12">
        <v>73660</v>
      </c>
      <c r="E74" s="12">
        <v>12</v>
      </c>
      <c r="F74" s="13">
        <f t="shared" si="0"/>
        <v>-883920</v>
      </c>
      <c r="G74" s="17"/>
      <c r="H74" s="17"/>
      <c r="I74" s="27">
        <v>0.29724537037037035</v>
      </c>
      <c r="J74" t="s">
        <v>14</v>
      </c>
      <c r="K74" t="s">
        <v>8</v>
      </c>
      <c r="L74">
        <v>2.4830000000000001</v>
      </c>
      <c r="M74">
        <v>59</v>
      </c>
      <c r="N74">
        <f t="shared" si="3"/>
        <v>-146.49700000000001</v>
      </c>
      <c r="T74" s="12">
        <v>73</v>
      </c>
      <c r="U74" s="7">
        <v>0.84065972222222218</v>
      </c>
      <c r="V74" s="4" t="s">
        <v>23</v>
      </c>
      <c r="W74" s="4" t="s">
        <v>7</v>
      </c>
      <c r="X74" s="12">
        <v>72762</v>
      </c>
      <c r="Y74" s="12">
        <v>1</v>
      </c>
      <c r="Z74" s="4" t="s">
        <v>22</v>
      </c>
      <c r="AA74" s="13">
        <f t="shared" si="1"/>
        <v>72762</v>
      </c>
    </row>
    <row r="75" spans="1:27">
      <c r="A75" s="7">
        <v>0.36732638888888891</v>
      </c>
      <c r="B75" s="4" t="s">
        <v>21</v>
      </c>
      <c r="C75" s="4" t="s">
        <v>8</v>
      </c>
      <c r="D75" s="12">
        <v>73660</v>
      </c>
      <c r="E75" s="12">
        <v>1</v>
      </c>
      <c r="F75" s="13">
        <f t="shared" si="0"/>
        <v>-73660</v>
      </c>
      <c r="G75" s="17"/>
      <c r="H75" s="17"/>
      <c r="I75" s="17"/>
      <c r="N75">
        <f>SUM(N2:N74)</f>
        <v>249.46400000000023</v>
      </c>
      <c r="T75" s="12">
        <v>74</v>
      </c>
      <c r="U75" s="7">
        <v>0.84065972222222218</v>
      </c>
      <c r="V75" s="4" t="s">
        <v>21</v>
      </c>
      <c r="W75" s="4" t="s">
        <v>8</v>
      </c>
      <c r="X75" s="12">
        <v>73535</v>
      </c>
      <c r="Y75" s="12">
        <v>2</v>
      </c>
      <c r="Z75" s="4" t="s">
        <v>22</v>
      </c>
      <c r="AA75" s="13">
        <f t="shared" si="1"/>
        <v>-147070</v>
      </c>
    </row>
    <row r="76" spans="1:27">
      <c r="A76" s="7">
        <v>0.36732638888888891</v>
      </c>
      <c r="B76" s="4" t="s">
        <v>21</v>
      </c>
      <c r="C76" s="4" t="s">
        <v>8</v>
      </c>
      <c r="D76" s="12">
        <v>73660</v>
      </c>
      <c r="E76" s="12">
        <v>4</v>
      </c>
      <c r="F76" s="13">
        <f t="shared" si="0"/>
        <v>-294640</v>
      </c>
      <c r="G76" s="17"/>
      <c r="H76" s="17"/>
      <c r="I76" s="17"/>
      <c r="T76" s="12">
        <v>75</v>
      </c>
      <c r="U76" s="7">
        <v>0.84065972222222218</v>
      </c>
      <c r="V76" s="4" t="s">
        <v>23</v>
      </c>
      <c r="W76" s="4" t="s">
        <v>7</v>
      </c>
      <c r="X76" s="12">
        <v>72762</v>
      </c>
      <c r="Y76" s="12">
        <v>2</v>
      </c>
      <c r="Z76" s="4" t="s">
        <v>22</v>
      </c>
      <c r="AA76" s="13">
        <f t="shared" si="1"/>
        <v>145524</v>
      </c>
    </row>
    <row r="77" spans="1:27">
      <c r="A77" s="7">
        <v>0.36732638888888891</v>
      </c>
      <c r="B77" s="4" t="s">
        <v>21</v>
      </c>
      <c r="C77" s="4" t="s">
        <v>8</v>
      </c>
      <c r="D77" s="12">
        <v>73660</v>
      </c>
      <c r="E77" s="12">
        <v>1</v>
      </c>
      <c r="F77" s="13">
        <f t="shared" si="0"/>
        <v>-73660</v>
      </c>
      <c r="G77" s="17"/>
      <c r="H77" s="17"/>
      <c r="I77" s="17"/>
      <c r="T77" s="12">
        <v>76</v>
      </c>
      <c r="U77" s="7">
        <v>0.84065972222222218</v>
      </c>
      <c r="V77" s="4" t="s">
        <v>21</v>
      </c>
      <c r="W77" s="4" t="s">
        <v>8</v>
      </c>
      <c r="X77" s="12">
        <v>73535</v>
      </c>
      <c r="Y77" s="12">
        <v>3</v>
      </c>
      <c r="Z77" s="4" t="s">
        <v>22</v>
      </c>
      <c r="AA77" s="13">
        <f t="shared" si="1"/>
        <v>-220605</v>
      </c>
    </row>
    <row r="78" spans="1:27">
      <c r="A78" s="7">
        <v>0.36732638888888891</v>
      </c>
      <c r="B78" s="4" t="s">
        <v>21</v>
      </c>
      <c r="C78" s="4" t="s">
        <v>8</v>
      </c>
      <c r="D78" s="12">
        <v>73660</v>
      </c>
      <c r="E78" s="12">
        <v>4</v>
      </c>
      <c r="F78" s="13">
        <f t="shared" si="0"/>
        <v>-294640</v>
      </c>
      <c r="G78" s="17"/>
      <c r="H78" s="17"/>
      <c r="I78" s="17"/>
      <c r="T78" s="12">
        <v>77</v>
      </c>
      <c r="U78" s="7">
        <v>0.84065972222222218</v>
      </c>
      <c r="V78" s="4" t="s">
        <v>23</v>
      </c>
      <c r="W78" s="4" t="s">
        <v>7</v>
      </c>
      <c r="X78" s="12">
        <v>72762</v>
      </c>
      <c r="Y78" s="12">
        <v>3</v>
      </c>
      <c r="Z78" s="4" t="s">
        <v>22</v>
      </c>
      <c r="AA78" s="13">
        <f t="shared" si="1"/>
        <v>218286</v>
      </c>
    </row>
    <row r="79" spans="1:27">
      <c r="A79" s="7">
        <v>0.36732638888888891</v>
      </c>
      <c r="B79" s="4" t="s">
        <v>21</v>
      </c>
      <c r="C79" s="4" t="s">
        <v>8</v>
      </c>
      <c r="D79" s="12">
        <v>73660</v>
      </c>
      <c r="E79" s="12">
        <v>2</v>
      </c>
      <c r="F79" s="13">
        <f t="shared" si="0"/>
        <v>-147320</v>
      </c>
      <c r="G79" s="17"/>
      <c r="H79" s="17"/>
      <c r="I79" s="17"/>
      <c r="T79" s="12">
        <v>78</v>
      </c>
      <c r="U79" s="7">
        <v>0.84065972222222218</v>
      </c>
      <c r="V79" s="4" t="s">
        <v>21</v>
      </c>
      <c r="W79" s="4" t="s">
        <v>8</v>
      </c>
      <c r="X79" s="12">
        <v>73535</v>
      </c>
      <c r="Y79" s="12">
        <v>3</v>
      </c>
      <c r="Z79" s="4" t="s">
        <v>22</v>
      </c>
      <c r="AA79" s="13">
        <f t="shared" si="1"/>
        <v>-220605</v>
      </c>
    </row>
    <row r="80" spans="1:27">
      <c r="A80" s="7">
        <v>0.36732638888888891</v>
      </c>
      <c r="B80" s="4" t="s">
        <v>21</v>
      </c>
      <c r="C80" s="4" t="s">
        <v>8</v>
      </c>
      <c r="D80" s="12">
        <v>73660</v>
      </c>
      <c r="E80" s="12">
        <v>2</v>
      </c>
      <c r="F80" s="13">
        <f t="shared" si="0"/>
        <v>-147320</v>
      </c>
      <c r="G80" s="17"/>
      <c r="H80" s="17"/>
      <c r="I80" s="17"/>
      <c r="T80" s="12">
        <v>79</v>
      </c>
      <c r="U80" s="7">
        <v>0.84065972222222218</v>
      </c>
      <c r="V80" s="4" t="s">
        <v>23</v>
      </c>
      <c r="W80" s="4" t="s">
        <v>7</v>
      </c>
      <c r="X80" s="12">
        <v>72762</v>
      </c>
      <c r="Y80" s="12">
        <v>3</v>
      </c>
      <c r="Z80" s="4" t="s">
        <v>22</v>
      </c>
      <c r="AA80" s="13">
        <f t="shared" si="1"/>
        <v>218286</v>
      </c>
    </row>
    <row r="81" spans="1:27">
      <c r="A81" s="7">
        <v>0.36728009259259259</v>
      </c>
      <c r="B81" s="4" t="s">
        <v>23</v>
      </c>
      <c r="C81" s="4" t="s">
        <v>7</v>
      </c>
      <c r="D81" s="12">
        <v>72886</v>
      </c>
      <c r="E81" s="12">
        <v>50</v>
      </c>
      <c r="F81" s="13">
        <f t="shared" si="0"/>
        <v>3644300</v>
      </c>
      <c r="G81" s="17"/>
      <c r="H81" s="17"/>
      <c r="I81" s="17"/>
      <c r="T81" s="12">
        <v>80</v>
      </c>
      <c r="U81" s="7">
        <v>0.84065972222222218</v>
      </c>
      <c r="V81" s="4" t="s">
        <v>21</v>
      </c>
      <c r="W81" s="4" t="s">
        <v>8</v>
      </c>
      <c r="X81" s="12">
        <v>73535</v>
      </c>
      <c r="Y81" s="12">
        <v>2</v>
      </c>
      <c r="Z81" s="4" t="s">
        <v>22</v>
      </c>
      <c r="AA81" s="13">
        <f t="shared" si="1"/>
        <v>-147070</v>
      </c>
    </row>
    <row r="82" spans="1:27">
      <c r="A82" s="7">
        <v>0.36587962962962961</v>
      </c>
      <c r="B82" s="4" t="s">
        <v>14</v>
      </c>
      <c r="C82" s="4" t="s">
        <v>8</v>
      </c>
      <c r="D82" s="12">
        <v>2.4950000000000001</v>
      </c>
      <c r="E82" s="12">
        <v>10</v>
      </c>
      <c r="F82" s="13">
        <f t="shared" si="0"/>
        <v>-24.950000000000003</v>
      </c>
      <c r="G82" s="17"/>
      <c r="H82" s="17"/>
      <c r="I82" s="17"/>
      <c r="T82" s="12">
        <v>81</v>
      </c>
      <c r="U82" s="7">
        <v>0.84065972222222218</v>
      </c>
      <c r="V82" s="4" t="s">
        <v>23</v>
      </c>
      <c r="W82" s="4" t="s">
        <v>7</v>
      </c>
      <c r="X82" s="12">
        <v>72762</v>
      </c>
      <c r="Y82" s="12">
        <v>2</v>
      </c>
      <c r="Z82" s="4" t="s">
        <v>22</v>
      </c>
      <c r="AA82" s="13">
        <f t="shared" si="1"/>
        <v>145524</v>
      </c>
    </row>
    <row r="83" spans="1:27">
      <c r="A83" s="7">
        <v>0.36085648148148147</v>
      </c>
      <c r="B83" s="4" t="s">
        <v>21</v>
      </c>
      <c r="C83" s="4" t="s">
        <v>8</v>
      </c>
      <c r="D83" s="12">
        <v>73648</v>
      </c>
      <c r="E83" s="12">
        <v>8</v>
      </c>
      <c r="F83" s="13">
        <f t="shared" si="0"/>
        <v>-589184</v>
      </c>
      <c r="G83" s="17"/>
      <c r="H83" s="17"/>
      <c r="I83" s="17"/>
      <c r="T83" s="12">
        <v>82</v>
      </c>
      <c r="U83" s="7">
        <v>0.84064814814814814</v>
      </c>
      <c r="V83" s="4" t="s">
        <v>21</v>
      </c>
      <c r="W83" s="4" t="s">
        <v>8</v>
      </c>
      <c r="X83" s="12">
        <v>73535</v>
      </c>
      <c r="Y83" s="12">
        <v>1</v>
      </c>
      <c r="Z83" s="4" t="s">
        <v>22</v>
      </c>
      <c r="AA83" s="13">
        <f t="shared" si="1"/>
        <v>-73535</v>
      </c>
    </row>
    <row r="84" spans="1:27">
      <c r="A84" s="7">
        <v>0.36079861111111111</v>
      </c>
      <c r="B84" s="4" t="s">
        <v>21</v>
      </c>
      <c r="C84" s="4" t="s">
        <v>8</v>
      </c>
      <c r="D84" s="12">
        <v>73648</v>
      </c>
      <c r="E84" s="12">
        <v>2</v>
      </c>
      <c r="F84" s="13">
        <f t="shared" si="0"/>
        <v>-147296</v>
      </c>
      <c r="G84" s="17"/>
      <c r="H84" s="17"/>
      <c r="I84" s="17"/>
      <c r="T84" s="12">
        <v>83</v>
      </c>
      <c r="U84" s="7">
        <v>0.84064814814814814</v>
      </c>
      <c r="V84" s="4" t="s">
        <v>23</v>
      </c>
      <c r="W84" s="4" t="s">
        <v>7</v>
      </c>
      <c r="X84" s="12">
        <v>72762</v>
      </c>
      <c r="Y84" s="12">
        <v>1</v>
      </c>
      <c r="Z84" s="4" t="s">
        <v>22</v>
      </c>
      <c r="AA84" s="13">
        <f t="shared" si="1"/>
        <v>72762</v>
      </c>
    </row>
    <row r="85" spans="1:27">
      <c r="A85" s="7">
        <v>0.36078703703703702</v>
      </c>
      <c r="B85" s="4" t="s">
        <v>21</v>
      </c>
      <c r="C85" s="4" t="s">
        <v>8</v>
      </c>
      <c r="D85" s="12">
        <v>73648</v>
      </c>
      <c r="E85" s="12">
        <v>1</v>
      </c>
      <c r="F85" s="13">
        <f t="shared" si="0"/>
        <v>-73648</v>
      </c>
      <c r="G85" s="17"/>
      <c r="H85" s="17"/>
      <c r="I85" s="17"/>
      <c r="T85" s="12">
        <v>84</v>
      </c>
      <c r="U85" s="7">
        <v>0.84064814814814814</v>
      </c>
      <c r="V85" s="4" t="s">
        <v>21</v>
      </c>
      <c r="W85" s="4" t="s">
        <v>8</v>
      </c>
      <c r="X85" s="12">
        <v>73535</v>
      </c>
      <c r="Y85" s="12">
        <v>3</v>
      </c>
      <c r="Z85" s="4" t="s">
        <v>22</v>
      </c>
      <c r="AA85" s="13">
        <f t="shared" si="1"/>
        <v>-220605</v>
      </c>
    </row>
    <row r="86" spans="1:27">
      <c r="A86" s="7">
        <v>0.36077546296296298</v>
      </c>
      <c r="B86" s="4" t="s">
        <v>21</v>
      </c>
      <c r="C86" s="4" t="s">
        <v>8</v>
      </c>
      <c r="D86" s="12">
        <v>73648</v>
      </c>
      <c r="E86" s="12">
        <v>1</v>
      </c>
      <c r="F86" s="13">
        <f t="shared" si="0"/>
        <v>-73648</v>
      </c>
      <c r="G86" s="17"/>
      <c r="H86" s="17"/>
      <c r="I86" s="17"/>
      <c r="T86" s="12">
        <v>85</v>
      </c>
      <c r="U86" s="7">
        <v>0.84064814814814814</v>
      </c>
      <c r="V86" s="4" t="s">
        <v>23</v>
      </c>
      <c r="W86" s="4" t="s">
        <v>7</v>
      </c>
      <c r="X86" s="12">
        <v>72762</v>
      </c>
      <c r="Y86" s="12">
        <v>3</v>
      </c>
      <c r="Z86" s="4" t="s">
        <v>22</v>
      </c>
      <c r="AA86" s="13">
        <f t="shared" si="1"/>
        <v>218286</v>
      </c>
    </row>
    <row r="87" spans="1:27">
      <c r="A87" s="7">
        <v>0.36077546296296298</v>
      </c>
      <c r="B87" s="4" t="s">
        <v>21</v>
      </c>
      <c r="C87" s="4" t="s">
        <v>8</v>
      </c>
      <c r="D87" s="12">
        <v>73648</v>
      </c>
      <c r="E87" s="12">
        <v>2</v>
      </c>
      <c r="F87" s="13">
        <f t="shared" si="0"/>
        <v>-147296</v>
      </c>
      <c r="G87" s="17"/>
      <c r="H87" s="17"/>
      <c r="I87" s="17"/>
      <c r="T87" s="12">
        <v>86</v>
      </c>
      <c r="U87" s="7">
        <v>0.84064814814814814</v>
      </c>
      <c r="V87" s="4" t="s">
        <v>21</v>
      </c>
      <c r="W87" s="4" t="s">
        <v>8</v>
      </c>
      <c r="X87" s="12">
        <v>73535</v>
      </c>
      <c r="Y87" s="12">
        <v>3</v>
      </c>
      <c r="Z87" s="4" t="s">
        <v>22</v>
      </c>
      <c r="AA87" s="13">
        <f t="shared" si="1"/>
        <v>-220605</v>
      </c>
    </row>
    <row r="88" spans="1:27">
      <c r="A88" s="7">
        <v>0.36075231481481479</v>
      </c>
      <c r="B88" s="4" t="s">
        <v>21</v>
      </c>
      <c r="C88" s="4" t="s">
        <v>8</v>
      </c>
      <c r="D88" s="12">
        <v>73648</v>
      </c>
      <c r="E88" s="12">
        <v>1</v>
      </c>
      <c r="F88" s="13">
        <f t="shared" si="0"/>
        <v>-73648</v>
      </c>
      <c r="G88" s="17"/>
      <c r="H88" s="17"/>
      <c r="I88" s="17"/>
      <c r="T88" s="12">
        <v>87</v>
      </c>
      <c r="U88" s="7">
        <v>0.84064814814814814</v>
      </c>
      <c r="V88" s="4" t="s">
        <v>23</v>
      </c>
      <c r="W88" s="4" t="s">
        <v>7</v>
      </c>
      <c r="X88" s="12">
        <v>72762</v>
      </c>
      <c r="Y88" s="12">
        <v>3</v>
      </c>
      <c r="Z88" s="4" t="s">
        <v>22</v>
      </c>
      <c r="AA88" s="13">
        <f t="shared" si="1"/>
        <v>218286</v>
      </c>
    </row>
    <row r="89" spans="1:27">
      <c r="A89" s="7">
        <v>0.36075231481481479</v>
      </c>
      <c r="B89" s="4" t="s">
        <v>21</v>
      </c>
      <c r="C89" s="4" t="s">
        <v>8</v>
      </c>
      <c r="D89" s="12">
        <v>73648</v>
      </c>
      <c r="E89" s="12">
        <v>1</v>
      </c>
      <c r="F89" s="13">
        <f t="shared" si="0"/>
        <v>-73648</v>
      </c>
      <c r="G89" s="17"/>
      <c r="H89" s="17"/>
      <c r="I89" s="17"/>
      <c r="T89" s="12">
        <v>88</v>
      </c>
      <c r="U89" s="7">
        <v>0.82445601851851846</v>
      </c>
      <c r="V89" s="4" t="s">
        <v>21</v>
      </c>
      <c r="W89" s="4" t="s">
        <v>8</v>
      </c>
      <c r="X89" s="12">
        <v>73585</v>
      </c>
      <c r="Y89" s="12">
        <v>3</v>
      </c>
      <c r="Z89" s="4" t="s">
        <v>22</v>
      </c>
      <c r="AA89" s="13">
        <f t="shared" si="1"/>
        <v>-220755</v>
      </c>
    </row>
    <row r="90" spans="1:27">
      <c r="A90" s="7">
        <v>0.36075231481481479</v>
      </c>
      <c r="B90" s="4" t="s">
        <v>21</v>
      </c>
      <c r="C90" s="4" t="s">
        <v>8</v>
      </c>
      <c r="D90" s="12">
        <v>73648</v>
      </c>
      <c r="E90" s="12">
        <v>4</v>
      </c>
      <c r="F90" s="13">
        <f t="shared" si="0"/>
        <v>-294592</v>
      </c>
      <c r="G90" s="17"/>
      <c r="H90" s="17"/>
      <c r="I90" s="17"/>
      <c r="T90" s="12">
        <v>89</v>
      </c>
      <c r="U90" s="7">
        <v>0.82445601851851846</v>
      </c>
      <c r="V90" s="4" t="s">
        <v>23</v>
      </c>
      <c r="W90" s="4" t="s">
        <v>7</v>
      </c>
      <c r="X90" s="12">
        <v>72810</v>
      </c>
      <c r="Y90" s="12">
        <v>3</v>
      </c>
      <c r="Z90" s="4" t="s">
        <v>22</v>
      </c>
      <c r="AA90" s="13">
        <f t="shared" si="1"/>
        <v>218430</v>
      </c>
    </row>
    <row r="91" spans="1:27">
      <c r="A91" s="7">
        <v>0.35780092592592594</v>
      </c>
      <c r="B91" s="4" t="s">
        <v>23</v>
      </c>
      <c r="C91" s="4" t="s">
        <v>7</v>
      </c>
      <c r="D91" s="12">
        <v>72877</v>
      </c>
      <c r="E91" s="12">
        <v>20</v>
      </c>
      <c r="F91" s="13">
        <f t="shared" si="0"/>
        <v>1457540</v>
      </c>
      <c r="G91" s="17"/>
      <c r="H91" s="17"/>
      <c r="I91" s="17"/>
      <c r="T91" s="12">
        <v>90</v>
      </c>
      <c r="U91" s="7">
        <v>0.82438657407407412</v>
      </c>
      <c r="V91" s="4" t="s">
        <v>21</v>
      </c>
      <c r="W91" s="4" t="s">
        <v>8</v>
      </c>
      <c r="X91" s="12">
        <v>73581</v>
      </c>
      <c r="Y91" s="12">
        <v>3</v>
      </c>
      <c r="Z91" s="4" t="s">
        <v>22</v>
      </c>
      <c r="AA91" s="13">
        <f t="shared" si="1"/>
        <v>-220743</v>
      </c>
    </row>
    <row r="92" spans="1:27">
      <c r="A92" s="7">
        <v>0.35677083333333331</v>
      </c>
      <c r="B92" s="4" t="s">
        <v>23</v>
      </c>
      <c r="C92" s="4" t="s">
        <v>7</v>
      </c>
      <c r="D92" s="12">
        <v>72874</v>
      </c>
      <c r="E92" s="12">
        <v>10</v>
      </c>
      <c r="F92" s="13">
        <f t="shared" si="0"/>
        <v>728740</v>
      </c>
      <c r="G92" s="17"/>
      <c r="H92" s="17"/>
      <c r="I92" s="17"/>
      <c r="T92" s="12">
        <v>91</v>
      </c>
      <c r="U92" s="7">
        <v>0.82438657407407412</v>
      </c>
      <c r="V92" s="4" t="s">
        <v>23</v>
      </c>
      <c r="W92" s="4" t="s">
        <v>7</v>
      </c>
      <c r="X92" s="12">
        <v>72806</v>
      </c>
      <c r="Y92" s="12">
        <v>3</v>
      </c>
      <c r="Z92" s="4" t="s">
        <v>22</v>
      </c>
      <c r="AA92" s="13">
        <f t="shared" si="1"/>
        <v>218418</v>
      </c>
    </row>
    <row r="93" spans="1:27">
      <c r="A93" s="7">
        <v>0.35660879629629627</v>
      </c>
      <c r="B93" s="4" t="s">
        <v>23</v>
      </c>
      <c r="C93" s="4" t="s">
        <v>7</v>
      </c>
      <c r="D93" s="12">
        <v>72874</v>
      </c>
      <c r="E93" s="12">
        <v>10</v>
      </c>
      <c r="F93" s="13">
        <f t="shared" si="0"/>
        <v>728740</v>
      </c>
      <c r="G93" s="17"/>
      <c r="H93" s="17"/>
      <c r="I93" s="17"/>
      <c r="T93" s="12">
        <v>92</v>
      </c>
      <c r="U93" s="7">
        <v>0.82438657407407412</v>
      </c>
      <c r="V93" s="4" t="s">
        <v>21</v>
      </c>
      <c r="W93" s="4" t="s">
        <v>8</v>
      </c>
      <c r="X93" s="12">
        <v>73581</v>
      </c>
      <c r="Y93" s="12">
        <v>3</v>
      </c>
      <c r="Z93" s="4" t="s">
        <v>22</v>
      </c>
      <c r="AA93" s="13">
        <f t="shared" si="1"/>
        <v>-220743</v>
      </c>
    </row>
    <row r="94" spans="1:27">
      <c r="A94" s="7">
        <v>0.35653935185185187</v>
      </c>
      <c r="B94" s="4" t="s">
        <v>21</v>
      </c>
      <c r="C94" s="4" t="s">
        <v>8</v>
      </c>
      <c r="D94" s="12">
        <v>73651</v>
      </c>
      <c r="E94" s="12">
        <v>20</v>
      </c>
      <c r="F94" s="13">
        <f t="shared" si="0"/>
        <v>-1473020</v>
      </c>
      <c r="G94" s="17"/>
      <c r="H94" s="17"/>
      <c r="I94" s="17"/>
      <c r="T94" s="12">
        <v>93</v>
      </c>
      <c r="U94" s="7">
        <v>0.82438657407407412</v>
      </c>
      <c r="V94" s="4" t="s">
        <v>23</v>
      </c>
      <c r="W94" s="4" t="s">
        <v>7</v>
      </c>
      <c r="X94" s="12">
        <v>72806</v>
      </c>
      <c r="Y94" s="12">
        <v>3</v>
      </c>
      <c r="Z94" s="4" t="s">
        <v>22</v>
      </c>
      <c r="AA94" s="13">
        <f t="shared" si="1"/>
        <v>218418</v>
      </c>
    </row>
    <row r="95" spans="1:27">
      <c r="A95" s="7">
        <v>0.35651620370370368</v>
      </c>
      <c r="B95" s="4" t="s">
        <v>21</v>
      </c>
      <c r="C95" s="4" t="s">
        <v>8</v>
      </c>
      <c r="D95" s="12">
        <v>73656</v>
      </c>
      <c r="E95" s="12">
        <v>2</v>
      </c>
      <c r="F95" s="13">
        <f t="shared" si="0"/>
        <v>-147312</v>
      </c>
      <c r="G95" s="17"/>
      <c r="H95" s="17"/>
      <c r="I95" s="17"/>
      <c r="T95" s="12">
        <v>94</v>
      </c>
      <c r="U95" s="7">
        <v>0.82437499999999997</v>
      </c>
      <c r="V95" s="4" t="s">
        <v>21</v>
      </c>
      <c r="W95" s="4" t="s">
        <v>8</v>
      </c>
      <c r="X95" s="12">
        <v>73581</v>
      </c>
      <c r="Y95" s="12">
        <v>3</v>
      </c>
      <c r="Z95" s="4" t="s">
        <v>22</v>
      </c>
      <c r="AA95" s="13">
        <f t="shared" si="1"/>
        <v>-220743</v>
      </c>
    </row>
    <row r="96" spans="1:27">
      <c r="A96" s="7">
        <v>0.35651620370370368</v>
      </c>
      <c r="B96" s="4" t="s">
        <v>21</v>
      </c>
      <c r="C96" s="4" t="s">
        <v>8</v>
      </c>
      <c r="D96" s="12">
        <v>73656</v>
      </c>
      <c r="E96" s="12">
        <v>7</v>
      </c>
      <c r="F96" s="13">
        <f t="shared" si="0"/>
        <v>-515592</v>
      </c>
      <c r="G96" s="17"/>
      <c r="H96" s="17"/>
      <c r="I96" s="17"/>
      <c r="T96" s="12">
        <v>95</v>
      </c>
      <c r="U96" s="7">
        <v>0.82437499999999997</v>
      </c>
      <c r="V96" s="4" t="s">
        <v>23</v>
      </c>
      <c r="W96" s="4" t="s">
        <v>7</v>
      </c>
      <c r="X96" s="12">
        <v>72806</v>
      </c>
      <c r="Y96" s="12">
        <v>3</v>
      </c>
      <c r="Z96" s="4" t="s">
        <v>22</v>
      </c>
      <c r="AA96" s="13">
        <f t="shared" si="1"/>
        <v>218418</v>
      </c>
    </row>
    <row r="97" spans="1:27">
      <c r="A97" s="7">
        <v>0.35651620370370368</v>
      </c>
      <c r="B97" s="4" t="s">
        <v>21</v>
      </c>
      <c r="C97" s="4" t="s">
        <v>8</v>
      </c>
      <c r="D97" s="12">
        <v>73656</v>
      </c>
      <c r="E97" s="12">
        <v>3</v>
      </c>
      <c r="F97" s="13">
        <f t="shared" si="0"/>
        <v>-220968</v>
      </c>
      <c r="G97" s="17"/>
      <c r="H97" s="17"/>
      <c r="I97" s="17"/>
      <c r="T97" s="12">
        <v>96</v>
      </c>
      <c r="U97" s="7">
        <v>0.82437499999999997</v>
      </c>
      <c r="V97" s="4" t="s">
        <v>21</v>
      </c>
      <c r="W97" s="4" t="s">
        <v>8</v>
      </c>
      <c r="X97" s="12">
        <v>73581</v>
      </c>
      <c r="Y97" s="12">
        <v>3</v>
      </c>
      <c r="Z97" s="4" t="s">
        <v>22</v>
      </c>
      <c r="AA97" s="13">
        <f t="shared" si="1"/>
        <v>-220743</v>
      </c>
    </row>
    <row r="98" spans="1:27">
      <c r="A98" s="7">
        <v>0.35651620370370368</v>
      </c>
      <c r="B98" s="4" t="s">
        <v>21</v>
      </c>
      <c r="C98" s="4" t="s">
        <v>8</v>
      </c>
      <c r="D98" s="12">
        <v>73656</v>
      </c>
      <c r="E98" s="12">
        <v>3</v>
      </c>
      <c r="F98" s="13">
        <f t="shared" si="0"/>
        <v>-220968</v>
      </c>
      <c r="G98" s="17"/>
      <c r="H98" s="17"/>
      <c r="I98" s="17"/>
      <c r="T98" s="12">
        <v>97</v>
      </c>
      <c r="U98" s="7">
        <v>0.82437499999999997</v>
      </c>
      <c r="V98" s="4" t="s">
        <v>23</v>
      </c>
      <c r="W98" s="4" t="s">
        <v>7</v>
      </c>
      <c r="X98" s="12">
        <v>72806</v>
      </c>
      <c r="Y98" s="12">
        <v>3</v>
      </c>
      <c r="Z98" s="4" t="s">
        <v>22</v>
      </c>
      <c r="AA98" s="13">
        <f t="shared" si="1"/>
        <v>218418</v>
      </c>
    </row>
    <row r="99" spans="1:27">
      <c r="A99" s="7">
        <v>0.35651620370370368</v>
      </c>
      <c r="B99" s="4" t="s">
        <v>21</v>
      </c>
      <c r="C99" s="4" t="s">
        <v>8</v>
      </c>
      <c r="D99" s="12">
        <v>73656</v>
      </c>
      <c r="E99" s="12">
        <v>2</v>
      </c>
      <c r="F99" s="13">
        <f t="shared" si="0"/>
        <v>-147312</v>
      </c>
      <c r="G99" s="17"/>
      <c r="H99" s="17"/>
      <c r="I99" s="17"/>
      <c r="T99" s="12">
        <v>98</v>
      </c>
      <c r="U99" s="7">
        <v>0.82437499999999997</v>
      </c>
      <c r="V99" s="4" t="s">
        <v>21</v>
      </c>
      <c r="W99" s="4" t="s">
        <v>8</v>
      </c>
      <c r="X99" s="12">
        <v>73581</v>
      </c>
      <c r="Y99" s="12">
        <v>3</v>
      </c>
      <c r="Z99" s="4" t="s">
        <v>22</v>
      </c>
      <c r="AA99" s="13">
        <f t="shared" si="1"/>
        <v>-220743</v>
      </c>
    </row>
    <row r="100" spans="1:27">
      <c r="A100" s="7">
        <v>0.35651620370370368</v>
      </c>
      <c r="B100" s="4" t="s">
        <v>21</v>
      </c>
      <c r="C100" s="4" t="s">
        <v>8</v>
      </c>
      <c r="D100" s="12">
        <v>73656</v>
      </c>
      <c r="E100" s="12">
        <v>3</v>
      </c>
      <c r="F100" s="13">
        <f t="shared" si="0"/>
        <v>-220968</v>
      </c>
      <c r="G100" s="17"/>
      <c r="H100" s="17"/>
      <c r="I100" s="17"/>
      <c r="T100" s="12">
        <v>99</v>
      </c>
      <c r="U100" s="7">
        <v>0.82437499999999997</v>
      </c>
      <c r="V100" s="4" t="s">
        <v>23</v>
      </c>
      <c r="W100" s="4" t="s">
        <v>7</v>
      </c>
      <c r="X100" s="12">
        <v>72806</v>
      </c>
      <c r="Y100" s="12">
        <v>3</v>
      </c>
      <c r="Z100" s="4" t="s">
        <v>22</v>
      </c>
      <c r="AA100" s="13">
        <f t="shared" si="1"/>
        <v>218418</v>
      </c>
    </row>
    <row r="101" spans="1:27">
      <c r="A101" s="7">
        <v>0.35620370370370369</v>
      </c>
      <c r="B101" s="4" t="s">
        <v>23</v>
      </c>
      <c r="C101" s="4" t="s">
        <v>7</v>
      </c>
      <c r="D101" s="12">
        <v>72870</v>
      </c>
      <c r="E101" s="12">
        <v>20</v>
      </c>
      <c r="F101" s="13">
        <f t="shared" si="0"/>
        <v>1457400</v>
      </c>
      <c r="G101" s="17"/>
      <c r="H101" s="17"/>
      <c r="I101" s="17"/>
      <c r="T101" s="12">
        <v>100</v>
      </c>
      <c r="U101" s="7">
        <v>0.82437499999999997</v>
      </c>
      <c r="V101" s="4" t="s">
        <v>21</v>
      </c>
      <c r="W101" s="4" t="s">
        <v>8</v>
      </c>
      <c r="X101" s="12">
        <v>73581</v>
      </c>
      <c r="Y101" s="12">
        <v>3</v>
      </c>
      <c r="Z101" s="4" t="s">
        <v>22</v>
      </c>
      <c r="AA101" s="13">
        <f t="shared" si="1"/>
        <v>-220743</v>
      </c>
    </row>
    <row r="102" spans="1:27">
      <c r="A102" s="7">
        <v>0.35443287037037036</v>
      </c>
      <c r="B102" s="4" t="s">
        <v>14</v>
      </c>
      <c r="C102" s="4" t="s">
        <v>7</v>
      </c>
      <c r="D102" s="12">
        <v>2.5089999999999999</v>
      </c>
      <c r="E102" s="12">
        <v>4</v>
      </c>
      <c r="F102" s="13">
        <f t="shared" si="0"/>
        <v>10.036</v>
      </c>
      <c r="G102" s="17"/>
      <c r="H102" s="17"/>
      <c r="I102" s="17"/>
      <c r="T102" s="12">
        <v>101</v>
      </c>
      <c r="U102" s="7">
        <v>0.82437499999999997</v>
      </c>
      <c r="V102" s="4" t="s">
        <v>23</v>
      </c>
      <c r="W102" s="4" t="s">
        <v>7</v>
      </c>
      <c r="X102" s="12">
        <v>72806</v>
      </c>
      <c r="Y102" s="12">
        <v>3</v>
      </c>
      <c r="Z102" s="4" t="s">
        <v>22</v>
      </c>
      <c r="AA102" s="13">
        <f t="shared" si="1"/>
        <v>218418</v>
      </c>
    </row>
    <row r="103" spans="1:27">
      <c r="A103" s="7">
        <v>0.35428240740740741</v>
      </c>
      <c r="B103" s="4" t="s">
        <v>14</v>
      </c>
      <c r="C103" s="4" t="s">
        <v>7</v>
      </c>
      <c r="D103" s="12">
        <v>2.5070000000000001</v>
      </c>
      <c r="E103" s="12">
        <v>1</v>
      </c>
      <c r="F103" s="13">
        <f t="shared" si="0"/>
        <v>2.5070000000000001</v>
      </c>
      <c r="G103" s="17"/>
      <c r="H103" s="17"/>
      <c r="I103" s="17"/>
      <c r="T103" s="12">
        <v>102</v>
      </c>
      <c r="U103" s="7">
        <v>0.82437499999999997</v>
      </c>
      <c r="V103" s="4" t="s">
        <v>21</v>
      </c>
      <c r="W103" s="4" t="s">
        <v>8</v>
      </c>
      <c r="X103" s="12">
        <v>73581</v>
      </c>
      <c r="Y103" s="12">
        <v>3</v>
      </c>
      <c r="Z103" s="4" t="s">
        <v>22</v>
      </c>
      <c r="AA103" s="13">
        <f t="shared" si="1"/>
        <v>-220743</v>
      </c>
    </row>
    <row r="104" spans="1:27">
      <c r="A104" s="7">
        <v>0.35428240740740741</v>
      </c>
      <c r="B104" s="4" t="s">
        <v>14</v>
      </c>
      <c r="C104" s="4" t="s">
        <v>7</v>
      </c>
      <c r="D104" s="12">
        <v>2.5070000000000001</v>
      </c>
      <c r="E104" s="12">
        <v>2</v>
      </c>
      <c r="F104" s="13">
        <f t="shared" si="0"/>
        <v>5.0140000000000002</v>
      </c>
      <c r="G104" s="17"/>
      <c r="H104" s="17"/>
      <c r="I104" s="17"/>
      <c r="T104" s="12">
        <v>103</v>
      </c>
      <c r="U104" s="7">
        <v>0.82437499999999997</v>
      </c>
      <c r="V104" s="4" t="s">
        <v>23</v>
      </c>
      <c r="W104" s="4" t="s">
        <v>7</v>
      </c>
      <c r="X104" s="12">
        <v>72806</v>
      </c>
      <c r="Y104" s="12">
        <v>3</v>
      </c>
      <c r="Z104" s="4" t="s">
        <v>22</v>
      </c>
      <c r="AA104" s="13">
        <f t="shared" si="1"/>
        <v>218418</v>
      </c>
    </row>
    <row r="105" spans="1:27">
      <c r="A105" s="7">
        <v>0.35385416666666669</v>
      </c>
      <c r="B105" s="4" t="s">
        <v>14</v>
      </c>
      <c r="C105" s="4" t="s">
        <v>7</v>
      </c>
      <c r="D105" s="12">
        <v>2.5019999999999998</v>
      </c>
      <c r="E105" s="12">
        <v>5</v>
      </c>
      <c r="F105" s="13">
        <f t="shared" si="0"/>
        <v>12.509999999999998</v>
      </c>
      <c r="G105" s="17"/>
      <c r="H105" s="17"/>
      <c r="I105" s="17"/>
      <c r="T105" s="12">
        <v>104</v>
      </c>
      <c r="U105" s="7">
        <v>0.82437499999999997</v>
      </c>
      <c r="V105" s="4" t="s">
        <v>21</v>
      </c>
      <c r="W105" s="4" t="s">
        <v>8</v>
      </c>
      <c r="X105" s="12">
        <v>73581</v>
      </c>
      <c r="Y105" s="12">
        <v>3</v>
      </c>
      <c r="Z105" s="4" t="s">
        <v>22</v>
      </c>
      <c r="AA105" s="13">
        <f t="shared" si="1"/>
        <v>-220743</v>
      </c>
    </row>
    <row r="106" spans="1:27">
      <c r="A106" s="7">
        <v>0.35385416666666669</v>
      </c>
      <c r="B106" s="4" t="s">
        <v>14</v>
      </c>
      <c r="C106" s="4" t="s">
        <v>7</v>
      </c>
      <c r="D106" s="12">
        <v>2.5019999999999998</v>
      </c>
      <c r="E106" s="12">
        <v>26</v>
      </c>
      <c r="F106" s="13">
        <f t="shared" si="0"/>
        <v>65.051999999999992</v>
      </c>
      <c r="G106" s="17"/>
      <c r="H106" s="17"/>
      <c r="I106" s="17"/>
      <c r="T106" s="12">
        <v>105</v>
      </c>
      <c r="U106" s="7">
        <v>0.82437499999999997</v>
      </c>
      <c r="V106" s="4" t="s">
        <v>23</v>
      </c>
      <c r="W106" s="4" t="s">
        <v>7</v>
      </c>
      <c r="X106" s="12">
        <v>72806</v>
      </c>
      <c r="Y106" s="12">
        <v>3</v>
      </c>
      <c r="Z106" s="4" t="s">
        <v>22</v>
      </c>
      <c r="AA106" s="13">
        <f t="shared" si="1"/>
        <v>218418</v>
      </c>
    </row>
    <row r="107" spans="1:27">
      <c r="A107" s="7">
        <v>0.35357638888888887</v>
      </c>
      <c r="B107" s="4" t="s">
        <v>14</v>
      </c>
      <c r="C107" s="4" t="s">
        <v>7</v>
      </c>
      <c r="D107" s="12">
        <v>2.5049999999999999</v>
      </c>
      <c r="E107" s="12">
        <v>10</v>
      </c>
      <c r="F107" s="13">
        <f t="shared" si="0"/>
        <v>25.049999999999997</v>
      </c>
      <c r="G107" s="17"/>
      <c r="H107" s="17"/>
      <c r="I107" s="17"/>
      <c r="T107" s="12">
        <v>106</v>
      </c>
      <c r="U107" s="7">
        <v>0.82437499999999997</v>
      </c>
      <c r="V107" s="4" t="s">
        <v>21</v>
      </c>
      <c r="W107" s="4" t="s">
        <v>8</v>
      </c>
      <c r="X107" s="12">
        <v>73581</v>
      </c>
      <c r="Y107" s="12">
        <v>3</v>
      </c>
      <c r="Z107" s="4" t="s">
        <v>22</v>
      </c>
      <c r="AA107" s="13">
        <f t="shared" si="1"/>
        <v>-220743</v>
      </c>
    </row>
    <row r="108" spans="1:27">
      <c r="A108" s="7">
        <v>0.33681712962962962</v>
      </c>
      <c r="B108" s="4" t="s">
        <v>14</v>
      </c>
      <c r="C108" s="4" t="s">
        <v>7</v>
      </c>
      <c r="D108" s="12">
        <v>2.4940000000000002</v>
      </c>
      <c r="E108" s="12">
        <v>11</v>
      </c>
      <c r="F108" s="13">
        <f t="shared" si="0"/>
        <v>27.434000000000001</v>
      </c>
      <c r="G108" s="17"/>
      <c r="H108" s="17"/>
      <c r="I108" s="17"/>
      <c r="T108" s="12">
        <v>107</v>
      </c>
      <c r="U108" s="7">
        <v>0.82437499999999997</v>
      </c>
      <c r="V108" s="4" t="s">
        <v>23</v>
      </c>
      <c r="W108" s="4" t="s">
        <v>7</v>
      </c>
      <c r="X108" s="12">
        <v>72806</v>
      </c>
      <c r="Y108" s="12">
        <v>3</v>
      </c>
      <c r="Z108" s="4" t="s">
        <v>22</v>
      </c>
      <c r="AA108" s="13">
        <f t="shared" si="1"/>
        <v>218418</v>
      </c>
    </row>
    <row r="109" spans="1:27">
      <c r="A109" s="7">
        <v>0.33649305555555553</v>
      </c>
      <c r="B109" s="4" t="s">
        <v>14</v>
      </c>
      <c r="C109" s="4" t="s">
        <v>7</v>
      </c>
      <c r="D109" s="12">
        <v>2.492</v>
      </c>
      <c r="E109" s="12">
        <v>41</v>
      </c>
      <c r="F109" s="13">
        <f t="shared" si="0"/>
        <v>102.172</v>
      </c>
      <c r="G109" s="17"/>
      <c r="H109" s="17"/>
      <c r="I109" s="17"/>
      <c r="T109" s="12">
        <v>108</v>
      </c>
      <c r="U109" s="7">
        <v>0.82436342592592593</v>
      </c>
      <c r="V109" s="4" t="s">
        <v>21</v>
      </c>
      <c r="W109" s="4" t="s">
        <v>8</v>
      </c>
      <c r="X109" s="12">
        <v>73581</v>
      </c>
      <c r="Y109" s="12">
        <v>3</v>
      </c>
      <c r="Z109" s="4" t="s">
        <v>22</v>
      </c>
      <c r="AA109" s="13">
        <f t="shared" si="1"/>
        <v>-220743</v>
      </c>
    </row>
    <row r="110" spans="1:27">
      <c r="A110" s="7">
        <v>0.3332060185185185</v>
      </c>
      <c r="B110" s="4" t="s">
        <v>14</v>
      </c>
      <c r="C110" s="4" t="s">
        <v>7</v>
      </c>
      <c r="D110" s="12">
        <v>2.4860000000000002</v>
      </c>
      <c r="E110" s="12">
        <v>4</v>
      </c>
      <c r="F110" s="13">
        <f t="shared" si="0"/>
        <v>9.9440000000000008</v>
      </c>
      <c r="G110" s="17"/>
      <c r="H110" s="17"/>
      <c r="I110" s="17"/>
      <c r="T110" s="12">
        <v>109</v>
      </c>
      <c r="U110" s="7">
        <v>0.82436342592592593</v>
      </c>
      <c r="V110" s="4" t="s">
        <v>23</v>
      </c>
      <c r="W110" s="4" t="s">
        <v>7</v>
      </c>
      <c r="X110" s="12">
        <v>72806</v>
      </c>
      <c r="Y110" s="12">
        <v>3</v>
      </c>
      <c r="Z110" s="4" t="s">
        <v>22</v>
      </c>
      <c r="AA110" s="13">
        <f t="shared" si="1"/>
        <v>218418</v>
      </c>
    </row>
    <row r="111" spans="1:27">
      <c r="A111" s="7">
        <v>0.33271990740740742</v>
      </c>
      <c r="B111" s="4" t="s">
        <v>14</v>
      </c>
      <c r="C111" s="4" t="s">
        <v>7</v>
      </c>
      <c r="D111" s="12">
        <v>2.4849999999999999</v>
      </c>
      <c r="E111" s="12">
        <v>2</v>
      </c>
      <c r="F111" s="13">
        <f t="shared" si="0"/>
        <v>4.97</v>
      </c>
      <c r="G111" s="17"/>
      <c r="H111" s="17"/>
      <c r="I111" s="17"/>
      <c r="T111" s="12">
        <v>110</v>
      </c>
      <c r="U111" s="7">
        <v>0.82415509259259256</v>
      </c>
      <c r="V111" s="4" t="s">
        <v>21</v>
      </c>
      <c r="W111" s="4" t="s">
        <v>8</v>
      </c>
      <c r="X111" s="12">
        <v>73581</v>
      </c>
      <c r="Y111" s="12">
        <v>1</v>
      </c>
      <c r="Z111" s="4" t="s">
        <v>22</v>
      </c>
      <c r="AA111" s="13">
        <f t="shared" si="1"/>
        <v>-73581</v>
      </c>
    </row>
    <row r="112" spans="1:27">
      <c r="A112" s="7">
        <v>0.33178240740740739</v>
      </c>
      <c r="B112" s="4" t="s">
        <v>14</v>
      </c>
      <c r="C112" s="4" t="s">
        <v>7</v>
      </c>
      <c r="D112" s="12">
        <v>2.4830000000000001</v>
      </c>
      <c r="E112" s="12">
        <v>4</v>
      </c>
      <c r="F112" s="13">
        <f t="shared" si="0"/>
        <v>9.9320000000000004</v>
      </c>
      <c r="G112" s="17"/>
      <c r="H112" s="17"/>
      <c r="I112" s="17"/>
      <c r="T112" s="12">
        <v>111</v>
      </c>
      <c r="U112" s="7">
        <v>0.82415509259259256</v>
      </c>
      <c r="V112" s="4" t="s">
        <v>23</v>
      </c>
      <c r="W112" s="4" t="s">
        <v>7</v>
      </c>
      <c r="X112" s="12">
        <v>72806</v>
      </c>
      <c r="Y112" s="12">
        <v>1</v>
      </c>
      <c r="Z112" s="4" t="s">
        <v>22</v>
      </c>
      <c r="AA112" s="13">
        <f t="shared" si="1"/>
        <v>72806</v>
      </c>
    </row>
    <row r="113" spans="1:27">
      <c r="A113" s="7">
        <v>0.33178240740740739</v>
      </c>
      <c r="B113" s="4" t="s">
        <v>14</v>
      </c>
      <c r="C113" s="4" t="s">
        <v>7</v>
      </c>
      <c r="D113" s="12">
        <v>2.4830000000000001</v>
      </c>
      <c r="E113" s="12">
        <v>2</v>
      </c>
      <c r="F113" s="13">
        <f t="shared" si="0"/>
        <v>4.9660000000000002</v>
      </c>
      <c r="G113" s="17"/>
      <c r="H113" s="17"/>
      <c r="I113" s="17"/>
      <c r="T113" s="12">
        <v>112</v>
      </c>
      <c r="U113" s="7">
        <v>0.82413194444444449</v>
      </c>
      <c r="V113" s="4" t="s">
        <v>21</v>
      </c>
      <c r="W113" s="4" t="s">
        <v>8</v>
      </c>
      <c r="X113" s="12">
        <v>73581</v>
      </c>
      <c r="Y113" s="12">
        <v>3</v>
      </c>
      <c r="Z113" s="4" t="s">
        <v>22</v>
      </c>
      <c r="AA113" s="13">
        <f t="shared" si="1"/>
        <v>-220743</v>
      </c>
    </row>
    <row r="114" spans="1:27">
      <c r="A114" s="7">
        <v>0.33178240740740739</v>
      </c>
      <c r="B114" s="4" t="s">
        <v>14</v>
      </c>
      <c r="C114" s="4" t="s">
        <v>7</v>
      </c>
      <c r="D114" s="12">
        <v>2.484</v>
      </c>
      <c r="E114" s="12">
        <v>2</v>
      </c>
      <c r="F114" s="13">
        <f t="shared" si="0"/>
        <v>4.968</v>
      </c>
      <c r="G114" s="17"/>
      <c r="H114" s="17"/>
      <c r="I114" s="17"/>
      <c r="T114" s="12">
        <v>113</v>
      </c>
      <c r="U114" s="7">
        <v>0.82413194444444449</v>
      </c>
      <c r="V114" s="4" t="s">
        <v>23</v>
      </c>
      <c r="W114" s="4" t="s">
        <v>7</v>
      </c>
      <c r="X114" s="12">
        <v>72806</v>
      </c>
      <c r="Y114" s="12">
        <v>3</v>
      </c>
      <c r="Z114" s="4" t="s">
        <v>22</v>
      </c>
      <c r="AA114" s="13">
        <f t="shared" si="1"/>
        <v>218418</v>
      </c>
    </row>
    <row r="115" spans="1:27">
      <c r="A115" s="7">
        <v>0.33177083333333335</v>
      </c>
      <c r="B115" s="4" t="s">
        <v>14</v>
      </c>
      <c r="C115" s="4" t="s">
        <v>7</v>
      </c>
      <c r="D115" s="12">
        <v>2.4849999999999999</v>
      </c>
      <c r="E115" s="12">
        <v>2</v>
      </c>
      <c r="F115" s="13">
        <f t="shared" si="0"/>
        <v>4.97</v>
      </c>
      <c r="G115" s="17"/>
      <c r="H115" s="17"/>
      <c r="I115" s="17"/>
      <c r="T115" s="12">
        <v>114</v>
      </c>
      <c r="U115" s="7">
        <v>0.82398148148148154</v>
      </c>
      <c r="V115" s="4" t="s">
        <v>21</v>
      </c>
      <c r="W115" s="4" t="s">
        <v>8</v>
      </c>
      <c r="X115" s="12">
        <v>73580</v>
      </c>
      <c r="Y115" s="12">
        <v>1</v>
      </c>
      <c r="Z115" s="4" t="s">
        <v>22</v>
      </c>
      <c r="AA115" s="13">
        <f t="shared" si="1"/>
        <v>-73580</v>
      </c>
    </row>
    <row r="116" spans="1:27">
      <c r="A116" s="7">
        <v>0.33143518518518517</v>
      </c>
      <c r="B116" s="4" t="s">
        <v>14</v>
      </c>
      <c r="C116" s="4" t="s">
        <v>7</v>
      </c>
      <c r="D116" s="12">
        <v>2.484</v>
      </c>
      <c r="E116" s="12">
        <v>4</v>
      </c>
      <c r="F116" s="13">
        <f t="shared" si="0"/>
        <v>9.9359999999999999</v>
      </c>
      <c r="G116" s="17"/>
      <c r="H116" s="17"/>
      <c r="I116" s="17"/>
      <c r="T116" s="12">
        <v>115</v>
      </c>
      <c r="U116" s="7">
        <v>0.82398148148148154</v>
      </c>
      <c r="V116" s="4" t="s">
        <v>23</v>
      </c>
      <c r="W116" s="4" t="s">
        <v>7</v>
      </c>
      <c r="X116" s="12">
        <v>72805</v>
      </c>
      <c r="Y116" s="12">
        <v>1</v>
      </c>
      <c r="Z116" s="4" t="s">
        <v>22</v>
      </c>
      <c r="AA116" s="13">
        <f t="shared" si="1"/>
        <v>72805</v>
      </c>
    </row>
    <row r="117" spans="1:27">
      <c r="A117" s="7">
        <v>0.33142361111111113</v>
      </c>
      <c r="B117" s="4" t="s">
        <v>21</v>
      </c>
      <c r="C117" s="4" t="s">
        <v>8</v>
      </c>
      <c r="D117" s="12">
        <v>73669</v>
      </c>
      <c r="E117" s="12">
        <v>20</v>
      </c>
      <c r="F117" s="13">
        <f t="shared" si="0"/>
        <v>-1473380</v>
      </c>
      <c r="G117" s="17"/>
      <c r="H117" s="17"/>
      <c r="I117" s="17"/>
      <c r="T117" s="12">
        <v>116</v>
      </c>
      <c r="U117" s="7">
        <v>0.8235069444444445</v>
      </c>
      <c r="V117" s="4" t="s">
        <v>21</v>
      </c>
      <c r="W117" s="4" t="s">
        <v>8</v>
      </c>
      <c r="X117" s="12">
        <v>73578</v>
      </c>
      <c r="Y117" s="12">
        <v>3</v>
      </c>
      <c r="Z117" s="4" t="s">
        <v>22</v>
      </c>
      <c r="AA117" s="13">
        <f t="shared" si="1"/>
        <v>-220734</v>
      </c>
    </row>
    <row r="118" spans="1:27">
      <c r="A118" s="7">
        <v>0.33141203703703703</v>
      </c>
      <c r="B118" s="4" t="s">
        <v>14</v>
      </c>
      <c r="C118" s="4" t="s">
        <v>7</v>
      </c>
      <c r="D118" s="12">
        <v>2.4830000000000001</v>
      </c>
      <c r="E118" s="12">
        <v>4</v>
      </c>
      <c r="F118" s="13">
        <f t="shared" si="0"/>
        <v>9.9320000000000004</v>
      </c>
      <c r="G118" s="17"/>
      <c r="H118" s="17"/>
      <c r="I118" s="17"/>
      <c r="T118" s="12">
        <v>117</v>
      </c>
      <c r="U118" s="7">
        <v>0.8235069444444445</v>
      </c>
      <c r="V118" s="4" t="s">
        <v>23</v>
      </c>
      <c r="W118" s="4" t="s">
        <v>7</v>
      </c>
      <c r="X118" s="12">
        <v>72803</v>
      </c>
      <c r="Y118" s="12">
        <v>3</v>
      </c>
      <c r="Z118" s="4" t="s">
        <v>22</v>
      </c>
      <c r="AA118" s="13">
        <f t="shared" si="1"/>
        <v>218409</v>
      </c>
    </row>
    <row r="119" spans="1:27">
      <c r="A119" s="7">
        <v>0.33141203703703703</v>
      </c>
      <c r="B119" s="4" t="s">
        <v>14</v>
      </c>
      <c r="C119" s="4" t="s">
        <v>7</v>
      </c>
      <c r="D119" s="12">
        <v>2.4830000000000001</v>
      </c>
      <c r="E119" s="12">
        <v>3</v>
      </c>
      <c r="F119" s="13">
        <f t="shared" si="0"/>
        <v>7.4489999999999998</v>
      </c>
      <c r="G119" s="17"/>
      <c r="H119" s="17"/>
      <c r="I119" s="17"/>
      <c r="T119" s="12">
        <v>118</v>
      </c>
      <c r="U119" s="7">
        <v>0.82346064814814812</v>
      </c>
      <c r="V119" s="4" t="s">
        <v>21</v>
      </c>
      <c r="W119" s="4" t="s">
        <v>8</v>
      </c>
      <c r="X119" s="12">
        <v>73579</v>
      </c>
      <c r="Y119" s="12">
        <v>3</v>
      </c>
      <c r="Z119" s="4" t="s">
        <v>22</v>
      </c>
      <c r="AA119" s="13">
        <f t="shared" si="1"/>
        <v>-220737</v>
      </c>
    </row>
    <row r="120" spans="1:27">
      <c r="A120" s="7">
        <v>0.33059027777777777</v>
      </c>
      <c r="B120" s="4" t="s">
        <v>23</v>
      </c>
      <c r="C120" s="4" t="s">
        <v>7</v>
      </c>
      <c r="D120" s="12">
        <v>72899</v>
      </c>
      <c r="E120" s="12">
        <v>1</v>
      </c>
      <c r="F120" s="13">
        <f t="shared" si="0"/>
        <v>72899</v>
      </c>
      <c r="G120" s="17"/>
      <c r="H120" s="17"/>
      <c r="I120" s="17"/>
      <c r="T120" s="12">
        <v>119</v>
      </c>
      <c r="U120" s="7">
        <v>0.82346064814814812</v>
      </c>
      <c r="V120" s="4" t="s">
        <v>23</v>
      </c>
      <c r="W120" s="4" t="s">
        <v>7</v>
      </c>
      <c r="X120" s="12">
        <v>72804</v>
      </c>
      <c r="Y120" s="12">
        <v>3</v>
      </c>
      <c r="Z120" s="4" t="s">
        <v>22</v>
      </c>
      <c r="AA120" s="13">
        <f t="shared" si="1"/>
        <v>218412</v>
      </c>
    </row>
    <row r="121" spans="1:27">
      <c r="A121" s="7">
        <v>0.33055555555555555</v>
      </c>
      <c r="B121" s="4" t="s">
        <v>23</v>
      </c>
      <c r="C121" s="4" t="s">
        <v>7</v>
      </c>
      <c r="D121" s="12">
        <v>72899</v>
      </c>
      <c r="E121" s="12">
        <v>10</v>
      </c>
      <c r="F121" s="13">
        <f t="shared" si="0"/>
        <v>728990</v>
      </c>
      <c r="G121" s="17"/>
      <c r="H121" s="17"/>
      <c r="I121" s="17"/>
      <c r="T121" s="12">
        <v>120</v>
      </c>
      <c r="U121" s="7">
        <v>0.82342592592592589</v>
      </c>
      <c r="V121" s="4" t="s">
        <v>21</v>
      </c>
      <c r="W121" s="4" t="s">
        <v>8</v>
      </c>
      <c r="X121" s="12">
        <v>73579</v>
      </c>
      <c r="Y121" s="12">
        <v>3</v>
      </c>
      <c r="Z121" s="4" t="s">
        <v>22</v>
      </c>
      <c r="AA121" s="13">
        <f t="shared" si="1"/>
        <v>-220737</v>
      </c>
    </row>
    <row r="122" spans="1:27">
      <c r="A122" s="7">
        <v>0.33055555555555555</v>
      </c>
      <c r="B122" s="4" t="s">
        <v>23</v>
      </c>
      <c r="C122" s="4" t="s">
        <v>7</v>
      </c>
      <c r="D122" s="12">
        <v>72899</v>
      </c>
      <c r="E122" s="12">
        <v>1</v>
      </c>
      <c r="F122" s="13">
        <f t="shared" si="0"/>
        <v>72899</v>
      </c>
      <c r="G122" s="17"/>
      <c r="H122" s="17"/>
      <c r="I122" s="17"/>
      <c r="T122" s="12">
        <v>121</v>
      </c>
      <c r="U122" s="7">
        <v>0.82342592592592589</v>
      </c>
      <c r="V122" s="4" t="s">
        <v>23</v>
      </c>
      <c r="W122" s="4" t="s">
        <v>7</v>
      </c>
      <c r="X122" s="12">
        <v>72804</v>
      </c>
      <c r="Y122" s="12">
        <v>3</v>
      </c>
      <c r="Z122" s="4" t="s">
        <v>22</v>
      </c>
      <c r="AA122" s="13">
        <f t="shared" si="1"/>
        <v>218412</v>
      </c>
    </row>
    <row r="123" spans="1:27">
      <c r="A123" s="7">
        <v>0.33055555555555555</v>
      </c>
      <c r="B123" s="4" t="s">
        <v>23</v>
      </c>
      <c r="C123" s="4" t="s">
        <v>7</v>
      </c>
      <c r="D123" s="12">
        <v>72899</v>
      </c>
      <c r="E123" s="12">
        <v>4</v>
      </c>
      <c r="F123" s="13">
        <f t="shared" si="0"/>
        <v>291596</v>
      </c>
      <c r="G123" s="17"/>
      <c r="H123" s="17"/>
      <c r="I123" s="17"/>
      <c r="T123" s="12">
        <v>122</v>
      </c>
      <c r="U123" s="7">
        <v>0.82336805555555559</v>
      </c>
      <c r="V123" s="4" t="s">
        <v>21</v>
      </c>
      <c r="W123" s="4" t="s">
        <v>8</v>
      </c>
      <c r="X123" s="12">
        <v>73580</v>
      </c>
      <c r="Y123" s="12">
        <v>3</v>
      </c>
      <c r="Z123" s="4" t="s">
        <v>22</v>
      </c>
      <c r="AA123" s="13">
        <f t="shared" si="1"/>
        <v>-220740</v>
      </c>
    </row>
    <row r="124" spans="1:27">
      <c r="A124" s="7">
        <v>0.33030092592592591</v>
      </c>
      <c r="B124" s="4" t="s">
        <v>23</v>
      </c>
      <c r="C124" s="4" t="s">
        <v>7</v>
      </c>
      <c r="D124" s="12">
        <v>72899</v>
      </c>
      <c r="E124" s="12">
        <v>4</v>
      </c>
      <c r="F124" s="13">
        <f t="shared" si="0"/>
        <v>291596</v>
      </c>
      <c r="G124" s="17"/>
      <c r="H124" s="17"/>
      <c r="I124" s="17"/>
      <c r="T124" s="12">
        <v>123</v>
      </c>
      <c r="U124" s="7">
        <v>0.82336805555555559</v>
      </c>
      <c r="V124" s="4" t="s">
        <v>23</v>
      </c>
      <c r="W124" s="4" t="s">
        <v>7</v>
      </c>
      <c r="X124" s="12">
        <v>72805</v>
      </c>
      <c r="Y124" s="12">
        <v>3</v>
      </c>
      <c r="Z124" s="4" t="s">
        <v>22</v>
      </c>
      <c r="AA124" s="13">
        <f t="shared" si="1"/>
        <v>218415</v>
      </c>
    </row>
    <row r="125" spans="1:27">
      <c r="A125" s="7">
        <v>0.32856481481481481</v>
      </c>
      <c r="B125" s="4" t="s">
        <v>21</v>
      </c>
      <c r="C125" s="4" t="s">
        <v>8</v>
      </c>
      <c r="D125" s="12">
        <v>73690</v>
      </c>
      <c r="E125" s="12">
        <v>12</v>
      </c>
      <c r="F125" s="13">
        <f t="shared" si="0"/>
        <v>-884280</v>
      </c>
      <c r="G125" s="17"/>
      <c r="H125" s="17"/>
      <c r="I125" s="17"/>
      <c r="T125" s="12">
        <v>124</v>
      </c>
      <c r="U125" s="7">
        <v>0.82329861111111113</v>
      </c>
      <c r="V125" s="4" t="s">
        <v>21</v>
      </c>
      <c r="W125" s="4" t="s">
        <v>8</v>
      </c>
      <c r="X125" s="12">
        <v>73579</v>
      </c>
      <c r="Y125" s="12">
        <v>1</v>
      </c>
      <c r="Z125" s="4" t="s">
        <v>22</v>
      </c>
      <c r="AA125" s="13">
        <f t="shared" si="1"/>
        <v>-73579</v>
      </c>
    </row>
    <row r="126" spans="1:27">
      <c r="A126" s="7">
        <v>0.32846064814814813</v>
      </c>
      <c r="B126" s="4" t="s">
        <v>21</v>
      </c>
      <c r="C126" s="4" t="s">
        <v>8</v>
      </c>
      <c r="D126" s="12">
        <v>73690</v>
      </c>
      <c r="E126" s="12">
        <v>1</v>
      </c>
      <c r="F126" s="13">
        <f t="shared" si="0"/>
        <v>-73690</v>
      </c>
      <c r="G126" s="17"/>
      <c r="H126" s="17"/>
      <c r="I126" s="17"/>
      <c r="T126" s="12">
        <v>125</v>
      </c>
      <c r="U126" s="7">
        <v>0.82329861111111113</v>
      </c>
      <c r="V126" s="4" t="s">
        <v>23</v>
      </c>
      <c r="W126" s="4" t="s">
        <v>7</v>
      </c>
      <c r="X126" s="12">
        <v>72804</v>
      </c>
      <c r="Y126" s="12">
        <v>1</v>
      </c>
      <c r="Z126" s="4" t="s">
        <v>22</v>
      </c>
      <c r="AA126" s="13">
        <f t="shared" si="1"/>
        <v>72804</v>
      </c>
    </row>
    <row r="127" spans="1:27">
      <c r="A127" s="7">
        <v>0.3284259259259259</v>
      </c>
      <c r="B127" s="4" t="s">
        <v>21</v>
      </c>
      <c r="C127" s="4" t="s">
        <v>8</v>
      </c>
      <c r="D127" s="12">
        <v>73690</v>
      </c>
      <c r="E127" s="12">
        <v>5</v>
      </c>
      <c r="F127" s="13">
        <f t="shared" si="0"/>
        <v>-368450</v>
      </c>
      <c r="G127" s="17"/>
      <c r="H127" s="17"/>
      <c r="I127" s="17"/>
      <c r="T127" s="12">
        <v>126</v>
      </c>
      <c r="U127" s="7">
        <v>0.82317129629629626</v>
      </c>
      <c r="V127" s="4" t="s">
        <v>21</v>
      </c>
      <c r="W127" s="4" t="s">
        <v>8</v>
      </c>
      <c r="X127" s="12">
        <v>73581</v>
      </c>
      <c r="Y127" s="12">
        <v>3</v>
      </c>
      <c r="Z127" s="4" t="s">
        <v>22</v>
      </c>
      <c r="AA127" s="13">
        <f t="shared" si="1"/>
        <v>-220743</v>
      </c>
    </row>
    <row r="128" spans="1:27">
      <c r="A128" s="7">
        <v>0.32836805555555554</v>
      </c>
      <c r="B128" s="4" t="s">
        <v>21</v>
      </c>
      <c r="C128" s="4" t="s">
        <v>8</v>
      </c>
      <c r="D128" s="12">
        <v>73690</v>
      </c>
      <c r="E128" s="12">
        <v>2</v>
      </c>
      <c r="F128" s="13">
        <f t="shared" si="0"/>
        <v>-147380</v>
      </c>
      <c r="G128" s="17"/>
      <c r="H128" s="17"/>
      <c r="I128" s="17"/>
      <c r="T128" s="12">
        <v>127</v>
      </c>
      <c r="U128" s="7">
        <v>0.82317129629629626</v>
      </c>
      <c r="V128" s="4" t="s">
        <v>23</v>
      </c>
      <c r="W128" s="4" t="s">
        <v>7</v>
      </c>
      <c r="X128" s="12">
        <v>72806</v>
      </c>
      <c r="Y128" s="12">
        <v>3</v>
      </c>
      <c r="Z128" s="4" t="s">
        <v>22</v>
      </c>
      <c r="AA128" s="13">
        <f t="shared" si="1"/>
        <v>218418</v>
      </c>
    </row>
    <row r="129" spans="1:27">
      <c r="A129" s="7">
        <v>0.32832175925925927</v>
      </c>
      <c r="B129" s="4" t="s">
        <v>14</v>
      </c>
      <c r="C129" s="4" t="s">
        <v>7</v>
      </c>
      <c r="D129" s="12">
        <v>2.4830000000000001</v>
      </c>
      <c r="E129" s="12">
        <v>1</v>
      </c>
      <c r="F129" s="13">
        <f t="shared" si="0"/>
        <v>2.4830000000000001</v>
      </c>
      <c r="G129" s="17"/>
      <c r="H129" s="17"/>
      <c r="I129" s="17"/>
      <c r="T129" s="12">
        <v>128</v>
      </c>
      <c r="U129" s="7">
        <v>0.82315972222222222</v>
      </c>
      <c r="V129" s="4" t="s">
        <v>21</v>
      </c>
      <c r="W129" s="4" t="s">
        <v>8</v>
      </c>
      <c r="X129" s="12">
        <v>73581</v>
      </c>
      <c r="Y129" s="12">
        <v>2</v>
      </c>
      <c r="Z129" s="4" t="s">
        <v>22</v>
      </c>
      <c r="AA129" s="13">
        <f t="shared" si="1"/>
        <v>-147162</v>
      </c>
    </row>
    <row r="130" spans="1:27">
      <c r="A130" s="7">
        <v>0.32821759259259259</v>
      </c>
      <c r="B130" s="4" t="s">
        <v>23</v>
      </c>
      <c r="C130" s="4" t="s">
        <v>7</v>
      </c>
      <c r="D130" s="12">
        <v>72907</v>
      </c>
      <c r="E130" s="12">
        <v>20</v>
      </c>
      <c r="F130" s="13">
        <f t="shared" si="0"/>
        <v>1458140</v>
      </c>
      <c r="G130" s="17"/>
      <c r="H130" s="17"/>
      <c r="I130" s="17"/>
      <c r="T130" s="12">
        <v>129</v>
      </c>
      <c r="U130" s="7">
        <v>0.82315972222222222</v>
      </c>
      <c r="V130" s="4" t="s">
        <v>23</v>
      </c>
      <c r="W130" s="4" t="s">
        <v>7</v>
      </c>
      <c r="X130" s="12">
        <v>72806</v>
      </c>
      <c r="Y130" s="12">
        <v>2</v>
      </c>
      <c r="Z130" s="4" t="s">
        <v>22</v>
      </c>
      <c r="AA130" s="13">
        <f t="shared" si="1"/>
        <v>145612</v>
      </c>
    </row>
    <row r="131" spans="1:27">
      <c r="A131" s="7">
        <v>0.32587962962962963</v>
      </c>
      <c r="B131" s="4" t="s">
        <v>21</v>
      </c>
      <c r="C131" s="4" t="s">
        <v>8</v>
      </c>
      <c r="D131" s="12">
        <v>73679</v>
      </c>
      <c r="E131" s="12">
        <v>12</v>
      </c>
      <c r="F131" s="13">
        <f t="shared" si="0"/>
        <v>-884148</v>
      </c>
      <c r="G131" s="17"/>
      <c r="H131" s="17"/>
      <c r="I131" s="17"/>
      <c r="T131" s="12">
        <v>130</v>
      </c>
      <c r="U131" s="7">
        <v>0.82314814814814818</v>
      </c>
      <c r="V131" s="4" t="s">
        <v>21</v>
      </c>
      <c r="W131" s="4" t="s">
        <v>8</v>
      </c>
      <c r="X131" s="12">
        <v>73581</v>
      </c>
      <c r="Y131" s="12">
        <v>1</v>
      </c>
      <c r="Z131" s="4" t="s">
        <v>22</v>
      </c>
      <c r="AA131" s="13">
        <f t="shared" si="1"/>
        <v>-73581</v>
      </c>
    </row>
    <row r="132" spans="1:27">
      <c r="A132" s="7">
        <v>0.325625</v>
      </c>
      <c r="B132" s="4" t="s">
        <v>21</v>
      </c>
      <c r="C132" s="4" t="s">
        <v>8</v>
      </c>
      <c r="D132" s="12">
        <v>73679</v>
      </c>
      <c r="E132" s="12">
        <v>1</v>
      </c>
      <c r="F132" s="13">
        <f t="shared" si="0"/>
        <v>-73679</v>
      </c>
      <c r="G132" s="17"/>
      <c r="H132" s="17"/>
      <c r="I132" s="17"/>
      <c r="T132" s="12">
        <v>131</v>
      </c>
      <c r="U132" s="7">
        <v>0.82314814814814818</v>
      </c>
      <c r="V132" s="4" t="s">
        <v>23</v>
      </c>
      <c r="W132" s="4" t="s">
        <v>7</v>
      </c>
      <c r="X132" s="12">
        <v>72806</v>
      </c>
      <c r="Y132" s="12">
        <v>1</v>
      </c>
      <c r="Z132" s="4" t="s">
        <v>22</v>
      </c>
      <c r="AA132" s="13">
        <f t="shared" si="1"/>
        <v>72806</v>
      </c>
    </row>
    <row r="133" spans="1:27">
      <c r="A133" s="7">
        <v>0.32527777777777778</v>
      </c>
      <c r="B133" s="4" t="s">
        <v>21</v>
      </c>
      <c r="C133" s="4" t="s">
        <v>8</v>
      </c>
      <c r="D133" s="12">
        <v>73679</v>
      </c>
      <c r="E133" s="12">
        <v>1</v>
      </c>
      <c r="F133" s="13">
        <f t="shared" si="0"/>
        <v>-73679</v>
      </c>
      <c r="G133" s="17"/>
      <c r="H133" s="17"/>
      <c r="I133" s="17"/>
      <c r="T133" s="12">
        <v>132</v>
      </c>
      <c r="U133" s="7">
        <v>0.82313657407407403</v>
      </c>
      <c r="V133" s="4" t="s">
        <v>21</v>
      </c>
      <c r="W133" s="4" t="s">
        <v>8</v>
      </c>
      <c r="X133" s="12">
        <v>73581</v>
      </c>
      <c r="Y133" s="12">
        <v>3</v>
      </c>
      <c r="Z133" s="4" t="s">
        <v>22</v>
      </c>
      <c r="AA133" s="13">
        <f t="shared" si="1"/>
        <v>-220743</v>
      </c>
    </row>
    <row r="134" spans="1:27">
      <c r="A134" s="7">
        <v>0.32526620370370368</v>
      </c>
      <c r="B134" s="4" t="s">
        <v>21</v>
      </c>
      <c r="C134" s="4" t="s">
        <v>8</v>
      </c>
      <c r="D134" s="12">
        <v>73679</v>
      </c>
      <c r="E134" s="12">
        <v>2</v>
      </c>
      <c r="F134" s="13">
        <f t="shared" si="0"/>
        <v>-147358</v>
      </c>
      <c r="G134" s="17"/>
      <c r="H134" s="17"/>
      <c r="I134" s="17"/>
      <c r="T134" s="12">
        <v>133</v>
      </c>
      <c r="U134" s="7">
        <v>0.82313657407407403</v>
      </c>
      <c r="V134" s="4" t="s">
        <v>23</v>
      </c>
      <c r="W134" s="4" t="s">
        <v>7</v>
      </c>
      <c r="X134" s="12">
        <v>72806</v>
      </c>
      <c r="Y134" s="12">
        <v>3</v>
      </c>
      <c r="Z134" s="4" t="s">
        <v>22</v>
      </c>
      <c r="AA134" s="13">
        <f t="shared" si="1"/>
        <v>218418</v>
      </c>
    </row>
    <row r="135" spans="1:27">
      <c r="A135" s="7">
        <v>0.32526620370370368</v>
      </c>
      <c r="B135" s="4" t="s">
        <v>21</v>
      </c>
      <c r="C135" s="4" t="s">
        <v>8</v>
      </c>
      <c r="D135" s="12">
        <v>73679</v>
      </c>
      <c r="E135" s="12">
        <v>3</v>
      </c>
      <c r="F135" s="13">
        <f t="shared" si="0"/>
        <v>-221037</v>
      </c>
      <c r="G135" s="17"/>
      <c r="H135" s="17"/>
      <c r="I135" s="17"/>
      <c r="T135" s="12">
        <v>134</v>
      </c>
      <c r="U135" s="7">
        <v>0.82313657407407403</v>
      </c>
      <c r="V135" s="4" t="s">
        <v>21</v>
      </c>
      <c r="W135" s="4" t="s">
        <v>8</v>
      </c>
      <c r="X135" s="12">
        <v>73580</v>
      </c>
      <c r="Y135" s="12">
        <v>3</v>
      </c>
      <c r="Z135" s="4" t="s">
        <v>22</v>
      </c>
      <c r="AA135" s="13">
        <f t="shared" si="1"/>
        <v>-220740</v>
      </c>
    </row>
    <row r="136" spans="1:27">
      <c r="A136" s="7">
        <v>0.32516203703703705</v>
      </c>
      <c r="B136" s="4" t="s">
        <v>21</v>
      </c>
      <c r="C136" s="4" t="s">
        <v>8</v>
      </c>
      <c r="D136" s="12">
        <v>73679</v>
      </c>
      <c r="E136" s="12">
        <v>1</v>
      </c>
      <c r="F136" s="13">
        <f t="shared" si="0"/>
        <v>-73679</v>
      </c>
      <c r="G136" s="17"/>
      <c r="H136" s="17"/>
      <c r="I136" s="17"/>
      <c r="T136" s="12">
        <v>135</v>
      </c>
      <c r="U136" s="7">
        <v>0.82313657407407403</v>
      </c>
      <c r="V136" s="4" t="s">
        <v>23</v>
      </c>
      <c r="W136" s="4" t="s">
        <v>7</v>
      </c>
      <c r="X136" s="12">
        <v>72804</v>
      </c>
      <c r="Y136" s="12">
        <v>3</v>
      </c>
      <c r="Z136" s="4" t="s">
        <v>22</v>
      </c>
      <c r="AA136" s="13">
        <f t="shared" si="1"/>
        <v>218412</v>
      </c>
    </row>
    <row r="137" spans="1:27">
      <c r="A137" s="7">
        <v>0.31961805555555556</v>
      </c>
      <c r="B137" s="4" t="s">
        <v>14</v>
      </c>
      <c r="C137" s="4" t="s">
        <v>7</v>
      </c>
      <c r="D137" s="12">
        <v>2.48</v>
      </c>
      <c r="E137" s="12">
        <v>1</v>
      </c>
      <c r="F137" s="13">
        <f t="shared" si="0"/>
        <v>2.48</v>
      </c>
      <c r="G137" s="17"/>
      <c r="H137" s="17"/>
      <c r="I137" s="17"/>
      <c r="T137" s="12">
        <v>136</v>
      </c>
      <c r="U137" s="7">
        <v>0.82313657407407403</v>
      </c>
      <c r="V137" s="4" t="s">
        <v>21</v>
      </c>
      <c r="W137" s="4" t="s">
        <v>8</v>
      </c>
      <c r="X137" s="12">
        <v>73575</v>
      </c>
      <c r="Y137" s="12">
        <v>3</v>
      </c>
      <c r="Z137" s="4" t="s">
        <v>22</v>
      </c>
      <c r="AA137" s="13">
        <f t="shared" si="1"/>
        <v>-220725</v>
      </c>
    </row>
    <row r="138" spans="1:27">
      <c r="A138" s="7">
        <v>0.31961805555555556</v>
      </c>
      <c r="B138" s="4" t="s">
        <v>14</v>
      </c>
      <c r="C138" s="4" t="s">
        <v>7</v>
      </c>
      <c r="D138" s="12">
        <v>2.48</v>
      </c>
      <c r="E138" s="12">
        <v>1</v>
      </c>
      <c r="F138" s="13">
        <f t="shared" si="0"/>
        <v>2.48</v>
      </c>
      <c r="G138" s="17"/>
      <c r="H138" s="17"/>
      <c r="I138" s="17"/>
      <c r="T138" s="12">
        <v>137</v>
      </c>
      <c r="U138" s="7">
        <v>0.82313657407407403</v>
      </c>
      <c r="V138" s="4" t="s">
        <v>23</v>
      </c>
      <c r="W138" s="4" t="s">
        <v>7</v>
      </c>
      <c r="X138" s="12">
        <v>72800</v>
      </c>
      <c r="Y138" s="12">
        <v>3</v>
      </c>
      <c r="Z138" s="4" t="s">
        <v>22</v>
      </c>
      <c r="AA138" s="13">
        <f t="shared" si="1"/>
        <v>218400</v>
      </c>
    </row>
    <row r="139" spans="1:27">
      <c r="A139" s="7">
        <v>0.31961805555555556</v>
      </c>
      <c r="B139" s="4" t="s">
        <v>14</v>
      </c>
      <c r="C139" s="4" t="s">
        <v>7</v>
      </c>
      <c r="D139" s="12">
        <v>2.48</v>
      </c>
      <c r="E139" s="12">
        <v>3</v>
      </c>
      <c r="F139" s="13">
        <f t="shared" si="0"/>
        <v>7.4399999999999995</v>
      </c>
      <c r="G139" s="17"/>
      <c r="H139" s="17"/>
      <c r="I139" s="17"/>
      <c r="T139" s="12">
        <v>138</v>
      </c>
      <c r="U139" s="7">
        <v>0.82311342592592596</v>
      </c>
      <c r="V139" s="4" t="s">
        <v>21</v>
      </c>
      <c r="W139" s="4" t="s">
        <v>8</v>
      </c>
      <c r="X139" s="12">
        <v>73573</v>
      </c>
      <c r="Y139" s="12">
        <v>1</v>
      </c>
      <c r="Z139" s="4" t="s">
        <v>22</v>
      </c>
      <c r="AA139" s="13">
        <f t="shared" si="1"/>
        <v>-73573</v>
      </c>
    </row>
    <row r="140" spans="1:27">
      <c r="A140" s="7">
        <v>0.31961805555555556</v>
      </c>
      <c r="B140" s="4" t="s">
        <v>14</v>
      </c>
      <c r="C140" s="4" t="s">
        <v>7</v>
      </c>
      <c r="D140" s="12">
        <v>2.48</v>
      </c>
      <c r="E140" s="12">
        <v>1</v>
      </c>
      <c r="F140" s="13">
        <f t="shared" si="0"/>
        <v>2.48</v>
      </c>
      <c r="G140" s="17"/>
      <c r="H140" s="17"/>
      <c r="I140" s="17"/>
      <c r="T140" s="12">
        <v>139</v>
      </c>
      <c r="U140" s="7">
        <v>0.82311342592592596</v>
      </c>
      <c r="V140" s="4" t="s">
        <v>23</v>
      </c>
      <c r="W140" s="4" t="s">
        <v>7</v>
      </c>
      <c r="X140" s="12">
        <v>72798</v>
      </c>
      <c r="Y140" s="12">
        <v>1</v>
      </c>
      <c r="Z140" s="4" t="s">
        <v>22</v>
      </c>
      <c r="AA140" s="13">
        <f t="shared" si="1"/>
        <v>72798</v>
      </c>
    </row>
    <row r="141" spans="1:27">
      <c r="A141" s="7">
        <v>0.31961805555555556</v>
      </c>
      <c r="B141" s="4" t="s">
        <v>14</v>
      </c>
      <c r="C141" s="4" t="s">
        <v>7</v>
      </c>
      <c r="D141" s="12">
        <v>2.48</v>
      </c>
      <c r="E141" s="12">
        <v>1</v>
      </c>
      <c r="F141" s="13">
        <f t="shared" si="0"/>
        <v>2.48</v>
      </c>
      <c r="G141" s="17"/>
      <c r="H141" s="17"/>
      <c r="I141" s="17"/>
      <c r="T141" s="12">
        <v>140</v>
      </c>
      <c r="U141" s="7">
        <v>0.82311342592592596</v>
      </c>
      <c r="V141" s="4" t="s">
        <v>21</v>
      </c>
      <c r="W141" s="4" t="s">
        <v>8</v>
      </c>
      <c r="X141" s="12">
        <v>73573</v>
      </c>
      <c r="Y141" s="12">
        <v>2</v>
      </c>
      <c r="Z141" s="4" t="s">
        <v>22</v>
      </c>
      <c r="AA141" s="13">
        <f t="shared" si="1"/>
        <v>-147146</v>
      </c>
    </row>
    <row r="142" spans="1:27">
      <c r="A142" s="7">
        <v>0.3178125</v>
      </c>
      <c r="B142" s="4" t="s">
        <v>23</v>
      </c>
      <c r="C142" s="4" t="s">
        <v>7</v>
      </c>
      <c r="D142" s="12">
        <v>72888</v>
      </c>
      <c r="E142" s="12">
        <v>20</v>
      </c>
      <c r="F142" s="13">
        <f t="shared" si="0"/>
        <v>1457760</v>
      </c>
      <c r="G142" s="17"/>
      <c r="H142" s="17"/>
      <c r="I142" s="17"/>
      <c r="T142" s="12">
        <v>141</v>
      </c>
      <c r="U142" s="7">
        <v>0.82311342592592596</v>
      </c>
      <c r="V142" s="4" t="s">
        <v>23</v>
      </c>
      <c r="W142" s="4" t="s">
        <v>7</v>
      </c>
      <c r="X142" s="12">
        <v>72798</v>
      </c>
      <c r="Y142" s="12">
        <v>2</v>
      </c>
      <c r="Z142" s="4" t="s">
        <v>22</v>
      </c>
      <c r="AA142" s="13">
        <f t="shared" si="1"/>
        <v>145596</v>
      </c>
    </row>
    <row r="143" spans="1:27">
      <c r="A143" s="7">
        <v>0.31721064814814814</v>
      </c>
      <c r="B143" s="4" t="s">
        <v>14</v>
      </c>
      <c r="C143" s="4" t="s">
        <v>7</v>
      </c>
      <c r="D143" s="12">
        <v>2.4830000000000001</v>
      </c>
      <c r="E143" s="12">
        <v>3</v>
      </c>
      <c r="F143" s="13">
        <f t="shared" si="0"/>
        <v>7.4489999999999998</v>
      </c>
      <c r="G143" s="17"/>
      <c r="H143" s="17"/>
      <c r="I143" s="17"/>
      <c r="T143" s="12">
        <v>142</v>
      </c>
      <c r="U143" s="7">
        <v>0.8230439814814815</v>
      </c>
      <c r="V143" s="4" t="s">
        <v>21</v>
      </c>
      <c r="W143" s="4" t="s">
        <v>8</v>
      </c>
      <c r="X143" s="12">
        <v>73575</v>
      </c>
      <c r="Y143" s="12">
        <v>3</v>
      </c>
      <c r="Z143" s="4" t="s">
        <v>22</v>
      </c>
      <c r="AA143" s="13">
        <f t="shared" si="1"/>
        <v>-220725</v>
      </c>
    </row>
    <row r="144" spans="1:27">
      <c r="A144" s="7">
        <v>0.31700231481481483</v>
      </c>
      <c r="B144" s="4" t="s">
        <v>21</v>
      </c>
      <c r="C144" s="4" t="s">
        <v>8</v>
      </c>
      <c r="D144" s="12">
        <v>73663</v>
      </c>
      <c r="E144" s="12">
        <v>15</v>
      </c>
      <c r="F144" s="13">
        <f t="shared" si="0"/>
        <v>-1104945</v>
      </c>
      <c r="G144" s="17"/>
      <c r="H144" s="17"/>
      <c r="I144" s="17"/>
      <c r="T144" s="12">
        <v>143</v>
      </c>
      <c r="U144" s="7">
        <v>0.8230439814814815</v>
      </c>
      <c r="V144" s="4" t="s">
        <v>23</v>
      </c>
      <c r="W144" s="4" t="s">
        <v>7</v>
      </c>
      <c r="X144" s="12">
        <v>72800</v>
      </c>
      <c r="Y144" s="12">
        <v>3</v>
      </c>
      <c r="Z144" s="4" t="s">
        <v>22</v>
      </c>
      <c r="AA144" s="13">
        <f t="shared" si="1"/>
        <v>218400</v>
      </c>
    </row>
    <row r="145" spans="1:27">
      <c r="A145" s="7">
        <v>0.31696759259259261</v>
      </c>
      <c r="B145" s="4" t="s">
        <v>21</v>
      </c>
      <c r="C145" s="4" t="s">
        <v>8</v>
      </c>
      <c r="D145" s="12">
        <v>73663</v>
      </c>
      <c r="E145" s="12">
        <v>5</v>
      </c>
      <c r="F145" s="13">
        <f t="shared" si="0"/>
        <v>-368315</v>
      </c>
      <c r="G145" s="17"/>
      <c r="H145" s="17"/>
      <c r="I145" s="17"/>
      <c r="T145" s="12">
        <v>144</v>
      </c>
      <c r="U145" s="7">
        <v>0.8230439814814815</v>
      </c>
      <c r="V145" s="4" t="s">
        <v>21</v>
      </c>
      <c r="W145" s="4" t="s">
        <v>8</v>
      </c>
      <c r="X145" s="12">
        <v>73575</v>
      </c>
      <c r="Y145" s="12">
        <v>3</v>
      </c>
      <c r="Z145" s="4" t="s">
        <v>22</v>
      </c>
      <c r="AA145" s="13">
        <f t="shared" si="1"/>
        <v>-220725</v>
      </c>
    </row>
    <row r="146" spans="1:27">
      <c r="A146" s="7">
        <v>0.31692129629629628</v>
      </c>
      <c r="B146" s="4" t="s">
        <v>21</v>
      </c>
      <c r="C146" s="4" t="s">
        <v>8</v>
      </c>
      <c r="D146" s="12">
        <v>73663</v>
      </c>
      <c r="E146" s="12">
        <v>1</v>
      </c>
      <c r="F146" s="13">
        <f t="shared" si="0"/>
        <v>-73663</v>
      </c>
      <c r="G146" s="17"/>
      <c r="H146" s="17"/>
      <c r="I146" s="17"/>
      <c r="T146" s="12">
        <v>145</v>
      </c>
      <c r="U146" s="7">
        <v>0.8230439814814815</v>
      </c>
      <c r="V146" s="4" t="s">
        <v>23</v>
      </c>
      <c r="W146" s="4" t="s">
        <v>7</v>
      </c>
      <c r="X146" s="12">
        <v>72800</v>
      </c>
      <c r="Y146" s="12">
        <v>3</v>
      </c>
      <c r="Z146" s="4" t="s">
        <v>22</v>
      </c>
      <c r="AA146" s="13">
        <f t="shared" si="1"/>
        <v>218400</v>
      </c>
    </row>
    <row r="147" spans="1:27">
      <c r="A147" s="7">
        <v>0.31688657407407406</v>
      </c>
      <c r="B147" s="4" t="s">
        <v>21</v>
      </c>
      <c r="C147" s="4" t="s">
        <v>8</v>
      </c>
      <c r="D147" s="12">
        <v>73663</v>
      </c>
      <c r="E147" s="12">
        <v>4</v>
      </c>
      <c r="F147" s="13">
        <f t="shared" si="0"/>
        <v>-294652</v>
      </c>
      <c r="G147" s="17"/>
      <c r="H147" s="17"/>
      <c r="I147" s="17"/>
      <c r="T147" s="12">
        <v>146</v>
      </c>
      <c r="U147" s="7">
        <v>0.8230439814814815</v>
      </c>
      <c r="V147" s="4" t="s">
        <v>21</v>
      </c>
      <c r="W147" s="4" t="s">
        <v>8</v>
      </c>
      <c r="X147" s="12">
        <v>73575</v>
      </c>
      <c r="Y147" s="12">
        <v>3</v>
      </c>
      <c r="Z147" s="4" t="s">
        <v>22</v>
      </c>
      <c r="AA147" s="13">
        <f t="shared" si="1"/>
        <v>-220725</v>
      </c>
    </row>
    <row r="148" spans="1:27">
      <c r="A148" s="7">
        <v>0.31687500000000002</v>
      </c>
      <c r="B148" s="4" t="s">
        <v>21</v>
      </c>
      <c r="C148" s="4" t="s">
        <v>8</v>
      </c>
      <c r="D148" s="12">
        <v>73663</v>
      </c>
      <c r="E148" s="12">
        <v>5</v>
      </c>
      <c r="F148" s="13">
        <f t="shared" si="0"/>
        <v>-368315</v>
      </c>
      <c r="G148" s="17"/>
      <c r="H148" s="17"/>
      <c r="I148" s="17"/>
      <c r="T148" s="12">
        <v>147</v>
      </c>
      <c r="U148" s="7">
        <v>0.8230439814814815</v>
      </c>
      <c r="V148" s="4" t="s">
        <v>23</v>
      </c>
      <c r="W148" s="4" t="s">
        <v>7</v>
      </c>
      <c r="X148" s="12">
        <v>72800</v>
      </c>
      <c r="Y148" s="12">
        <v>3</v>
      </c>
      <c r="Z148" s="4" t="s">
        <v>22</v>
      </c>
      <c r="AA148" s="13">
        <f t="shared" si="1"/>
        <v>218400</v>
      </c>
    </row>
    <row r="149" spans="1:27">
      <c r="A149" s="7">
        <v>0.31662037037037039</v>
      </c>
      <c r="B149" s="4" t="s">
        <v>23</v>
      </c>
      <c r="C149" s="4" t="s">
        <v>7</v>
      </c>
      <c r="D149" s="12">
        <v>72888</v>
      </c>
      <c r="E149" s="12">
        <v>2</v>
      </c>
      <c r="F149" s="13">
        <f t="shared" si="0"/>
        <v>145776</v>
      </c>
      <c r="G149" s="17"/>
      <c r="H149" s="17"/>
      <c r="I149" s="17"/>
      <c r="T149" s="12">
        <v>148</v>
      </c>
      <c r="U149" s="7">
        <v>0.8230439814814815</v>
      </c>
      <c r="V149" s="4" t="s">
        <v>21</v>
      </c>
      <c r="W149" s="4" t="s">
        <v>8</v>
      </c>
      <c r="X149" s="12">
        <v>73575</v>
      </c>
      <c r="Y149" s="12">
        <v>3</v>
      </c>
      <c r="Z149" s="4" t="s">
        <v>22</v>
      </c>
      <c r="AA149" s="13">
        <f t="shared" si="1"/>
        <v>-220725</v>
      </c>
    </row>
    <row r="150" spans="1:27">
      <c r="A150" s="7">
        <v>0.31662037037037039</v>
      </c>
      <c r="B150" s="4" t="s">
        <v>23</v>
      </c>
      <c r="C150" s="4" t="s">
        <v>7</v>
      </c>
      <c r="D150" s="12">
        <v>72888</v>
      </c>
      <c r="E150" s="12">
        <v>11</v>
      </c>
      <c r="F150" s="13">
        <f t="shared" si="0"/>
        <v>801768</v>
      </c>
      <c r="G150" s="17"/>
      <c r="H150" s="17"/>
      <c r="I150" s="17"/>
      <c r="T150" s="12">
        <v>149</v>
      </c>
      <c r="U150" s="7">
        <v>0.8230439814814815</v>
      </c>
      <c r="V150" s="4" t="s">
        <v>23</v>
      </c>
      <c r="W150" s="4" t="s">
        <v>7</v>
      </c>
      <c r="X150" s="12">
        <v>72800</v>
      </c>
      <c r="Y150" s="12">
        <v>3</v>
      </c>
      <c r="Z150" s="4" t="s">
        <v>22</v>
      </c>
      <c r="AA150" s="13">
        <f t="shared" si="1"/>
        <v>218400</v>
      </c>
    </row>
    <row r="151" spans="1:27">
      <c r="A151" s="7">
        <v>0.31662037037037039</v>
      </c>
      <c r="B151" s="4" t="s">
        <v>23</v>
      </c>
      <c r="C151" s="4" t="s">
        <v>7</v>
      </c>
      <c r="D151" s="12">
        <v>72888</v>
      </c>
      <c r="E151" s="12">
        <v>11</v>
      </c>
      <c r="F151" s="13">
        <f t="shared" si="0"/>
        <v>801768</v>
      </c>
      <c r="G151" s="17"/>
      <c r="H151" s="17"/>
      <c r="I151" s="17"/>
      <c r="T151" s="12">
        <v>150</v>
      </c>
      <c r="U151" s="7">
        <v>0.8230439814814815</v>
      </c>
      <c r="V151" s="4" t="s">
        <v>21</v>
      </c>
      <c r="W151" s="4" t="s">
        <v>8</v>
      </c>
      <c r="X151" s="12">
        <v>73575</v>
      </c>
      <c r="Y151" s="12">
        <v>3</v>
      </c>
      <c r="Z151" s="4" t="s">
        <v>22</v>
      </c>
      <c r="AA151" s="13">
        <f t="shared" si="1"/>
        <v>-220725</v>
      </c>
    </row>
    <row r="152" spans="1:27">
      <c r="A152" s="7">
        <v>0.31662037037037039</v>
      </c>
      <c r="B152" s="4" t="s">
        <v>23</v>
      </c>
      <c r="C152" s="4" t="s">
        <v>7</v>
      </c>
      <c r="D152" s="12">
        <v>72888</v>
      </c>
      <c r="E152" s="12">
        <v>1</v>
      </c>
      <c r="F152" s="13">
        <f t="shared" si="0"/>
        <v>72888</v>
      </c>
      <c r="G152" s="17"/>
      <c r="H152" s="17"/>
      <c r="I152" s="17"/>
      <c r="T152" s="12">
        <v>151</v>
      </c>
      <c r="U152" s="7">
        <v>0.8230439814814815</v>
      </c>
      <c r="V152" s="4" t="s">
        <v>23</v>
      </c>
      <c r="W152" s="4" t="s">
        <v>7</v>
      </c>
      <c r="X152" s="12">
        <v>72800</v>
      </c>
      <c r="Y152" s="12">
        <v>3</v>
      </c>
      <c r="Z152" s="4" t="s">
        <v>22</v>
      </c>
      <c r="AA152" s="13">
        <f t="shared" si="1"/>
        <v>218400</v>
      </c>
    </row>
    <row r="153" spans="1:27">
      <c r="A153" s="7">
        <v>0.31662037037037039</v>
      </c>
      <c r="B153" s="4" t="s">
        <v>23</v>
      </c>
      <c r="C153" s="4" t="s">
        <v>7</v>
      </c>
      <c r="D153" s="12">
        <v>72888</v>
      </c>
      <c r="E153" s="12">
        <v>5</v>
      </c>
      <c r="F153" s="13">
        <f t="shared" si="0"/>
        <v>364440</v>
      </c>
      <c r="G153" s="17"/>
      <c r="H153" s="17"/>
      <c r="I153" s="17"/>
      <c r="T153" s="12">
        <v>152</v>
      </c>
      <c r="U153" s="7">
        <v>0.82303240740740746</v>
      </c>
      <c r="V153" s="4" t="s">
        <v>21</v>
      </c>
      <c r="W153" s="4" t="s">
        <v>8</v>
      </c>
      <c r="X153" s="12">
        <v>73575</v>
      </c>
      <c r="Y153" s="12">
        <v>3</v>
      </c>
      <c r="Z153" s="4" t="s">
        <v>22</v>
      </c>
      <c r="AA153" s="13">
        <f t="shared" si="1"/>
        <v>-220725</v>
      </c>
    </row>
    <row r="154" spans="1:27">
      <c r="A154" s="7">
        <v>0.31618055555555558</v>
      </c>
      <c r="B154" s="4" t="s">
        <v>23</v>
      </c>
      <c r="C154" s="4" t="s">
        <v>7</v>
      </c>
      <c r="D154" s="12">
        <v>72889</v>
      </c>
      <c r="E154" s="12">
        <v>10</v>
      </c>
      <c r="F154" s="13">
        <f t="shared" si="0"/>
        <v>728890</v>
      </c>
      <c r="G154" s="17"/>
      <c r="H154" s="17"/>
      <c r="I154" s="17"/>
      <c r="T154" s="12">
        <v>153</v>
      </c>
      <c r="U154" s="7">
        <v>0.82303240740740746</v>
      </c>
      <c r="V154" s="4" t="s">
        <v>23</v>
      </c>
      <c r="W154" s="4" t="s">
        <v>7</v>
      </c>
      <c r="X154" s="12">
        <v>72800</v>
      </c>
      <c r="Y154" s="12">
        <v>3</v>
      </c>
      <c r="Z154" s="4" t="s">
        <v>22</v>
      </c>
      <c r="AA154" s="13">
        <f t="shared" si="1"/>
        <v>218400</v>
      </c>
    </row>
    <row r="155" spans="1:27">
      <c r="A155" s="7">
        <v>0.3160648148148148</v>
      </c>
      <c r="B155" s="4" t="s">
        <v>23</v>
      </c>
      <c r="C155" s="4" t="s">
        <v>7</v>
      </c>
      <c r="D155" s="12">
        <v>72889</v>
      </c>
      <c r="E155" s="12">
        <v>1</v>
      </c>
      <c r="F155" s="13">
        <f t="shared" si="0"/>
        <v>72889</v>
      </c>
      <c r="G155" s="17"/>
      <c r="H155" s="17"/>
      <c r="I155" s="17"/>
      <c r="T155" s="12">
        <v>154</v>
      </c>
      <c r="U155" s="7">
        <v>0.82302083333333331</v>
      </c>
      <c r="V155" s="4" t="s">
        <v>21</v>
      </c>
      <c r="W155" s="4" t="s">
        <v>8</v>
      </c>
      <c r="X155" s="12">
        <v>73576</v>
      </c>
      <c r="Y155" s="12">
        <v>3</v>
      </c>
      <c r="Z155" s="4" t="s">
        <v>22</v>
      </c>
      <c r="AA155" s="13">
        <f t="shared" si="1"/>
        <v>-220728</v>
      </c>
    </row>
    <row r="156" spans="1:27">
      <c r="A156" s="7">
        <v>0.31603009259259257</v>
      </c>
      <c r="B156" s="4" t="s">
        <v>23</v>
      </c>
      <c r="C156" s="4" t="s">
        <v>7</v>
      </c>
      <c r="D156" s="12">
        <v>72889</v>
      </c>
      <c r="E156" s="12">
        <v>1</v>
      </c>
      <c r="F156" s="13">
        <f t="shared" si="0"/>
        <v>72889</v>
      </c>
      <c r="G156" s="17"/>
      <c r="H156" s="17"/>
      <c r="I156" s="17"/>
      <c r="T156" s="12">
        <v>155</v>
      </c>
      <c r="U156" s="7">
        <v>0.82302083333333331</v>
      </c>
      <c r="V156" s="4" t="s">
        <v>23</v>
      </c>
      <c r="W156" s="4" t="s">
        <v>7</v>
      </c>
      <c r="X156" s="12">
        <v>72801</v>
      </c>
      <c r="Y156" s="12">
        <v>3</v>
      </c>
      <c r="Z156" s="4" t="s">
        <v>22</v>
      </c>
      <c r="AA156" s="13">
        <f t="shared" si="1"/>
        <v>218403</v>
      </c>
    </row>
    <row r="157" spans="1:27">
      <c r="A157" s="7">
        <v>0.31600694444444444</v>
      </c>
      <c r="B157" s="4" t="s">
        <v>23</v>
      </c>
      <c r="C157" s="4" t="s">
        <v>7</v>
      </c>
      <c r="D157" s="12">
        <v>72889</v>
      </c>
      <c r="E157" s="12">
        <v>2</v>
      </c>
      <c r="F157" s="13">
        <f t="shared" si="0"/>
        <v>145778</v>
      </c>
      <c r="G157" s="17"/>
      <c r="H157" s="17"/>
      <c r="I157" s="17"/>
      <c r="T157" s="12">
        <v>156</v>
      </c>
      <c r="U157" s="7">
        <v>0.82302083333333331</v>
      </c>
      <c r="V157" s="4" t="s">
        <v>21</v>
      </c>
      <c r="W157" s="4" t="s">
        <v>8</v>
      </c>
      <c r="X157" s="12">
        <v>73576</v>
      </c>
      <c r="Y157" s="12">
        <v>1</v>
      </c>
      <c r="Z157" s="4" t="s">
        <v>22</v>
      </c>
      <c r="AA157" s="13">
        <f t="shared" si="1"/>
        <v>-73576</v>
      </c>
    </row>
    <row r="158" spans="1:27">
      <c r="A158" s="7">
        <v>0.31599537037037034</v>
      </c>
      <c r="B158" s="4" t="s">
        <v>23</v>
      </c>
      <c r="C158" s="4" t="s">
        <v>7</v>
      </c>
      <c r="D158" s="12">
        <v>72889</v>
      </c>
      <c r="E158" s="12">
        <v>3</v>
      </c>
      <c r="F158" s="13">
        <f t="shared" si="0"/>
        <v>218667</v>
      </c>
      <c r="G158" s="17"/>
      <c r="H158" s="17"/>
      <c r="I158" s="17"/>
      <c r="T158" s="12">
        <v>157</v>
      </c>
      <c r="U158" s="7">
        <v>0.82302083333333331</v>
      </c>
      <c r="V158" s="4" t="s">
        <v>21</v>
      </c>
      <c r="W158" s="4" t="s">
        <v>8</v>
      </c>
      <c r="X158" s="12">
        <v>73576</v>
      </c>
      <c r="Y158" s="12">
        <v>2</v>
      </c>
      <c r="Z158" s="4" t="s">
        <v>22</v>
      </c>
      <c r="AA158" s="13">
        <f t="shared" si="1"/>
        <v>-147152</v>
      </c>
    </row>
    <row r="159" spans="1:27">
      <c r="A159" s="7">
        <v>0.31599537037037034</v>
      </c>
      <c r="B159" s="4" t="s">
        <v>23</v>
      </c>
      <c r="C159" s="4" t="s">
        <v>7</v>
      </c>
      <c r="D159" s="12">
        <v>72889</v>
      </c>
      <c r="E159" s="12">
        <v>2</v>
      </c>
      <c r="F159" s="13">
        <f t="shared" si="0"/>
        <v>145778</v>
      </c>
      <c r="G159" s="17"/>
      <c r="H159" s="17"/>
      <c r="I159" s="17"/>
      <c r="T159" s="12">
        <v>158</v>
      </c>
      <c r="U159" s="7">
        <v>0.82302083333333331</v>
      </c>
      <c r="V159" s="4" t="s">
        <v>23</v>
      </c>
      <c r="W159" s="4" t="s">
        <v>7</v>
      </c>
      <c r="X159" s="12">
        <v>72801</v>
      </c>
      <c r="Y159" s="12">
        <v>3</v>
      </c>
      <c r="Z159" s="4" t="s">
        <v>22</v>
      </c>
      <c r="AA159" s="13">
        <f t="shared" si="1"/>
        <v>218403</v>
      </c>
    </row>
    <row r="160" spans="1:27">
      <c r="A160" s="7">
        <v>0.31599537037037034</v>
      </c>
      <c r="B160" s="4" t="s">
        <v>23</v>
      </c>
      <c r="C160" s="4" t="s">
        <v>7</v>
      </c>
      <c r="D160" s="12">
        <v>72889</v>
      </c>
      <c r="E160" s="12">
        <v>1</v>
      </c>
      <c r="F160" s="13">
        <f t="shared" si="0"/>
        <v>72889</v>
      </c>
      <c r="G160" s="17"/>
      <c r="H160" s="17"/>
      <c r="I160" s="17"/>
      <c r="T160" s="12">
        <v>159</v>
      </c>
      <c r="U160" s="7">
        <v>0.82302083333333331</v>
      </c>
      <c r="V160" s="4" t="s">
        <v>21</v>
      </c>
      <c r="W160" s="4" t="s">
        <v>8</v>
      </c>
      <c r="X160" s="12">
        <v>73576</v>
      </c>
      <c r="Y160" s="12">
        <v>1</v>
      </c>
      <c r="Z160" s="4" t="s">
        <v>22</v>
      </c>
      <c r="AA160" s="13">
        <f t="shared" si="1"/>
        <v>-73576</v>
      </c>
    </row>
    <row r="161" spans="1:27">
      <c r="A161" s="7">
        <v>0.31539351851851855</v>
      </c>
      <c r="B161" s="4" t="s">
        <v>21</v>
      </c>
      <c r="C161" s="4" t="s">
        <v>8</v>
      </c>
      <c r="D161" s="12">
        <v>73648</v>
      </c>
      <c r="E161" s="12">
        <v>20</v>
      </c>
      <c r="F161" s="13">
        <f t="shared" si="0"/>
        <v>-1472960</v>
      </c>
      <c r="G161" s="17"/>
      <c r="H161" s="17"/>
      <c r="I161" s="17"/>
      <c r="T161" s="12">
        <v>160</v>
      </c>
      <c r="U161" s="7">
        <v>0.82302083333333331</v>
      </c>
      <c r="V161" s="4" t="s">
        <v>23</v>
      </c>
      <c r="W161" s="4" t="s">
        <v>7</v>
      </c>
      <c r="X161" s="12">
        <v>72802</v>
      </c>
      <c r="Y161" s="12">
        <v>1</v>
      </c>
      <c r="Z161" s="4" t="s">
        <v>22</v>
      </c>
      <c r="AA161" s="13">
        <f t="shared" si="1"/>
        <v>72802</v>
      </c>
    </row>
    <row r="162" spans="1:27">
      <c r="A162" s="7">
        <v>0.31487268518518519</v>
      </c>
      <c r="B162" s="4" t="s">
        <v>23</v>
      </c>
      <c r="C162" s="4" t="s">
        <v>7</v>
      </c>
      <c r="D162" s="12">
        <v>72873</v>
      </c>
      <c r="E162" s="12">
        <v>20</v>
      </c>
      <c r="F162" s="13">
        <f t="shared" si="0"/>
        <v>1457460</v>
      </c>
      <c r="G162" s="17"/>
      <c r="H162" s="17"/>
      <c r="I162" s="17"/>
      <c r="T162" s="12">
        <v>161</v>
      </c>
      <c r="U162" s="7">
        <v>0.82302083333333331</v>
      </c>
      <c r="V162" s="4" t="s">
        <v>21</v>
      </c>
      <c r="W162" s="4" t="s">
        <v>8</v>
      </c>
      <c r="X162" s="12">
        <v>73576</v>
      </c>
      <c r="Y162" s="12">
        <v>2</v>
      </c>
      <c r="Z162" s="4" t="s">
        <v>22</v>
      </c>
      <c r="AA162" s="13">
        <f t="shared" si="1"/>
        <v>-147152</v>
      </c>
    </row>
    <row r="163" spans="1:27">
      <c r="A163" s="7">
        <v>0.31479166666666669</v>
      </c>
      <c r="B163" s="4" t="s">
        <v>21</v>
      </c>
      <c r="C163" s="4" t="s">
        <v>8</v>
      </c>
      <c r="D163" s="12">
        <v>73665</v>
      </c>
      <c r="E163" s="12">
        <v>19</v>
      </c>
      <c r="F163" s="13">
        <f t="shared" si="0"/>
        <v>-1399635</v>
      </c>
      <c r="G163" s="17"/>
      <c r="H163" s="17"/>
      <c r="I163" s="17"/>
      <c r="T163" s="12">
        <v>162</v>
      </c>
      <c r="U163" s="7">
        <v>0.82302083333333331</v>
      </c>
      <c r="V163" s="4" t="s">
        <v>23</v>
      </c>
      <c r="W163" s="4" t="s">
        <v>7</v>
      </c>
      <c r="X163" s="12">
        <v>72802</v>
      </c>
      <c r="Y163" s="12">
        <v>2</v>
      </c>
      <c r="Z163" s="4" t="s">
        <v>22</v>
      </c>
      <c r="AA163" s="13">
        <f t="shared" si="1"/>
        <v>145604</v>
      </c>
    </row>
    <row r="164" spans="1:27">
      <c r="A164" s="7">
        <v>0.31475694444444446</v>
      </c>
      <c r="B164" s="4" t="s">
        <v>21</v>
      </c>
      <c r="C164" s="4" t="s">
        <v>8</v>
      </c>
      <c r="D164" s="12">
        <v>73665</v>
      </c>
      <c r="E164" s="12">
        <v>1</v>
      </c>
      <c r="F164" s="13">
        <f t="shared" si="0"/>
        <v>-73665</v>
      </c>
      <c r="G164" s="17"/>
      <c r="H164" s="17"/>
      <c r="I164" s="17"/>
      <c r="T164" s="12">
        <v>163</v>
      </c>
      <c r="U164" s="7">
        <v>0.82298611111111108</v>
      </c>
      <c r="V164" s="4" t="s">
        <v>21</v>
      </c>
      <c r="W164" s="4" t="s">
        <v>8</v>
      </c>
      <c r="X164" s="12">
        <v>73576</v>
      </c>
      <c r="Y164" s="12">
        <v>1</v>
      </c>
      <c r="Z164" s="4" t="s">
        <v>22</v>
      </c>
      <c r="AA164" s="13">
        <f t="shared" si="1"/>
        <v>-73576</v>
      </c>
    </row>
    <row r="165" spans="1:27">
      <c r="A165" s="7">
        <v>0.31458333333333333</v>
      </c>
      <c r="B165" s="4" t="s">
        <v>14</v>
      </c>
      <c r="C165" s="4" t="s">
        <v>7</v>
      </c>
      <c r="D165" s="12">
        <v>2.4830000000000001</v>
      </c>
      <c r="E165" s="12">
        <v>2</v>
      </c>
      <c r="F165" s="13">
        <f t="shared" si="0"/>
        <v>4.9660000000000002</v>
      </c>
      <c r="G165" s="17"/>
      <c r="H165" s="17"/>
      <c r="I165" s="17"/>
      <c r="T165" s="12">
        <v>164</v>
      </c>
      <c r="U165" s="7">
        <v>0.82298611111111108</v>
      </c>
      <c r="V165" s="4" t="s">
        <v>23</v>
      </c>
      <c r="W165" s="4" t="s">
        <v>7</v>
      </c>
      <c r="X165" s="12">
        <v>72802</v>
      </c>
      <c r="Y165" s="12">
        <v>1</v>
      </c>
      <c r="Z165" s="4" t="s">
        <v>22</v>
      </c>
      <c r="AA165" s="13">
        <f t="shared" si="1"/>
        <v>72802</v>
      </c>
    </row>
    <row r="166" spans="1:27">
      <c r="A166" s="7">
        <v>0.31416666666666665</v>
      </c>
      <c r="B166" s="4" t="s">
        <v>21</v>
      </c>
      <c r="C166" s="4" t="s">
        <v>8</v>
      </c>
      <c r="D166" s="12">
        <v>73666</v>
      </c>
      <c r="E166" s="12">
        <v>4</v>
      </c>
      <c r="F166" s="13">
        <f t="shared" si="0"/>
        <v>-294664</v>
      </c>
      <c r="G166" s="17"/>
      <c r="H166" s="17"/>
      <c r="I166" s="17"/>
      <c r="T166" s="12">
        <v>165</v>
      </c>
      <c r="U166" s="7">
        <v>0.82297453703703705</v>
      </c>
      <c r="V166" s="4" t="s">
        <v>21</v>
      </c>
      <c r="W166" s="4" t="s">
        <v>8</v>
      </c>
      <c r="X166" s="12">
        <v>73576</v>
      </c>
      <c r="Y166" s="12">
        <v>3</v>
      </c>
      <c r="Z166" s="4" t="s">
        <v>22</v>
      </c>
      <c r="AA166" s="13">
        <f t="shared" si="1"/>
        <v>-220728</v>
      </c>
    </row>
    <row r="167" spans="1:27">
      <c r="A167" s="7">
        <v>0.31410879629629629</v>
      </c>
      <c r="B167" s="4" t="s">
        <v>21</v>
      </c>
      <c r="C167" s="4" t="s">
        <v>8</v>
      </c>
      <c r="D167" s="12">
        <v>73666</v>
      </c>
      <c r="E167" s="12">
        <v>3</v>
      </c>
      <c r="F167" s="13">
        <f t="shared" si="0"/>
        <v>-220998</v>
      </c>
      <c r="G167" s="17"/>
      <c r="H167" s="17"/>
      <c r="I167" s="17"/>
      <c r="T167" s="12">
        <v>166</v>
      </c>
      <c r="U167" s="7">
        <v>0.82297453703703705</v>
      </c>
      <c r="V167" s="4" t="s">
        <v>23</v>
      </c>
      <c r="W167" s="4" t="s">
        <v>7</v>
      </c>
      <c r="X167" s="12">
        <v>72801</v>
      </c>
      <c r="Y167" s="12">
        <v>3</v>
      </c>
      <c r="Z167" s="4" t="s">
        <v>22</v>
      </c>
      <c r="AA167" s="13">
        <f t="shared" si="1"/>
        <v>218403</v>
      </c>
    </row>
    <row r="168" spans="1:27">
      <c r="A168" s="7">
        <v>0.31400462962962961</v>
      </c>
      <c r="B168" s="4" t="s">
        <v>21</v>
      </c>
      <c r="C168" s="4" t="s">
        <v>8</v>
      </c>
      <c r="D168" s="12">
        <v>73666</v>
      </c>
      <c r="E168" s="12">
        <v>3</v>
      </c>
      <c r="F168" s="13">
        <f t="shared" si="0"/>
        <v>-220998</v>
      </c>
      <c r="G168" s="17"/>
      <c r="H168" s="17"/>
      <c r="I168" s="17"/>
      <c r="T168" s="12">
        <v>167</v>
      </c>
      <c r="U168" s="7">
        <v>0.82297453703703705</v>
      </c>
      <c r="V168" s="4" t="s">
        <v>21</v>
      </c>
      <c r="W168" s="4" t="s">
        <v>8</v>
      </c>
      <c r="X168" s="12">
        <v>73576</v>
      </c>
      <c r="Y168" s="12">
        <v>3</v>
      </c>
      <c r="Z168" s="4" t="s">
        <v>22</v>
      </c>
      <c r="AA168" s="13">
        <f t="shared" si="1"/>
        <v>-220728</v>
      </c>
    </row>
    <row r="169" spans="1:27">
      <c r="A169" s="7">
        <v>0.31369212962962961</v>
      </c>
      <c r="B169" s="4" t="s">
        <v>23</v>
      </c>
      <c r="C169" s="4" t="s">
        <v>7</v>
      </c>
      <c r="D169" s="12">
        <v>72894</v>
      </c>
      <c r="E169" s="12">
        <v>10</v>
      </c>
      <c r="F169" s="13">
        <f t="shared" si="0"/>
        <v>728940</v>
      </c>
      <c r="G169" s="17"/>
      <c r="H169" s="17"/>
      <c r="I169" s="17"/>
      <c r="T169" s="12">
        <v>168</v>
      </c>
      <c r="U169" s="7">
        <v>0.82297453703703705</v>
      </c>
      <c r="V169" s="4" t="s">
        <v>23</v>
      </c>
      <c r="W169" s="4" t="s">
        <v>7</v>
      </c>
      <c r="X169" s="12">
        <v>72801</v>
      </c>
      <c r="Y169" s="12">
        <v>3</v>
      </c>
      <c r="Z169" s="4" t="s">
        <v>22</v>
      </c>
      <c r="AA169" s="13">
        <f t="shared" si="1"/>
        <v>218403</v>
      </c>
    </row>
    <row r="170" spans="1:27">
      <c r="A170" s="7">
        <v>0.30450231481481482</v>
      </c>
      <c r="B170" s="4" t="s">
        <v>14</v>
      </c>
      <c r="C170" s="4" t="s">
        <v>7</v>
      </c>
      <c r="D170" s="12">
        <v>2.4830000000000001</v>
      </c>
      <c r="E170" s="12">
        <v>3</v>
      </c>
      <c r="F170" s="13">
        <f t="shared" si="0"/>
        <v>7.4489999999999998</v>
      </c>
      <c r="G170" s="17"/>
      <c r="H170" s="17"/>
      <c r="I170" s="17"/>
      <c r="T170" s="12">
        <v>169</v>
      </c>
      <c r="U170" s="7">
        <v>0.82297453703703705</v>
      </c>
      <c r="V170" s="4" t="s">
        <v>21</v>
      </c>
      <c r="W170" s="4" t="s">
        <v>8</v>
      </c>
      <c r="X170" s="12">
        <v>73576</v>
      </c>
      <c r="Y170" s="12">
        <v>3</v>
      </c>
      <c r="Z170" s="4" t="s">
        <v>22</v>
      </c>
      <c r="AA170" s="13">
        <f t="shared" si="1"/>
        <v>-220728</v>
      </c>
    </row>
    <row r="171" spans="1:27">
      <c r="A171" s="7">
        <v>0.30350694444444443</v>
      </c>
      <c r="B171" s="4" t="s">
        <v>14</v>
      </c>
      <c r="C171" s="4" t="s">
        <v>7</v>
      </c>
      <c r="D171" s="12">
        <v>2.4830000000000001</v>
      </c>
      <c r="E171" s="12">
        <v>3</v>
      </c>
      <c r="F171" s="13">
        <f t="shared" si="0"/>
        <v>7.4489999999999998</v>
      </c>
      <c r="G171" s="17"/>
      <c r="H171" s="17"/>
      <c r="I171" s="17"/>
      <c r="T171" s="12">
        <v>170</v>
      </c>
      <c r="U171" s="7">
        <v>0.82297453703703705</v>
      </c>
      <c r="V171" s="4" t="s">
        <v>23</v>
      </c>
      <c r="W171" s="4" t="s">
        <v>7</v>
      </c>
      <c r="X171" s="12">
        <v>72801</v>
      </c>
      <c r="Y171" s="12">
        <v>3</v>
      </c>
      <c r="Z171" s="4" t="s">
        <v>22</v>
      </c>
      <c r="AA171" s="13">
        <f t="shared" si="1"/>
        <v>218403</v>
      </c>
    </row>
    <row r="172" spans="1:27">
      <c r="A172" s="7">
        <v>0.30064814814814816</v>
      </c>
      <c r="B172" s="4" t="s">
        <v>14</v>
      </c>
      <c r="C172" s="4" t="s">
        <v>7</v>
      </c>
      <c r="D172" s="12">
        <v>2.4830000000000001</v>
      </c>
      <c r="E172" s="12">
        <v>4</v>
      </c>
      <c r="F172" s="13">
        <f t="shared" si="0"/>
        <v>9.9320000000000004</v>
      </c>
      <c r="G172" s="17"/>
      <c r="H172" s="17"/>
      <c r="I172" s="17"/>
      <c r="T172" s="12">
        <v>171</v>
      </c>
      <c r="U172" s="7">
        <v>0.82297453703703705</v>
      </c>
      <c r="V172" s="4" t="s">
        <v>21</v>
      </c>
      <c r="W172" s="4" t="s">
        <v>8</v>
      </c>
      <c r="X172" s="12">
        <v>73576</v>
      </c>
      <c r="Y172" s="12">
        <v>3</v>
      </c>
      <c r="Z172" s="4" t="s">
        <v>22</v>
      </c>
      <c r="AA172" s="13">
        <f t="shared" si="1"/>
        <v>-220728</v>
      </c>
    </row>
    <row r="173" spans="1:27">
      <c r="A173" s="7">
        <v>0.29949074074074072</v>
      </c>
      <c r="B173" s="4" t="s">
        <v>14</v>
      </c>
      <c r="C173" s="4" t="s">
        <v>7</v>
      </c>
      <c r="D173" s="12">
        <v>2.4830000000000001</v>
      </c>
      <c r="E173" s="12">
        <v>4</v>
      </c>
      <c r="F173" s="13">
        <f t="shared" si="0"/>
        <v>9.9320000000000004</v>
      </c>
      <c r="G173" s="17"/>
      <c r="H173" s="17"/>
      <c r="I173" s="17"/>
      <c r="T173" s="12">
        <v>172</v>
      </c>
      <c r="U173" s="7">
        <v>0.82297453703703705</v>
      </c>
      <c r="V173" s="4" t="s">
        <v>23</v>
      </c>
      <c r="W173" s="4" t="s">
        <v>7</v>
      </c>
      <c r="X173" s="12">
        <v>72801</v>
      </c>
      <c r="Y173" s="12">
        <v>3</v>
      </c>
      <c r="Z173" s="4" t="s">
        <v>22</v>
      </c>
      <c r="AA173" s="13">
        <f t="shared" si="1"/>
        <v>218403</v>
      </c>
    </row>
    <row r="174" spans="1:27">
      <c r="A174" s="7">
        <v>0.299375</v>
      </c>
      <c r="B174" s="4" t="s">
        <v>14</v>
      </c>
      <c r="C174" s="4" t="s">
        <v>7</v>
      </c>
      <c r="D174" s="12">
        <v>2.4830000000000001</v>
      </c>
      <c r="E174" s="12">
        <v>3</v>
      </c>
      <c r="F174" s="13">
        <f t="shared" si="0"/>
        <v>7.4489999999999998</v>
      </c>
      <c r="G174" s="17"/>
      <c r="H174" s="17"/>
      <c r="I174" s="17"/>
      <c r="T174" s="12">
        <v>173</v>
      </c>
      <c r="U174" s="7">
        <v>0.82297453703703705</v>
      </c>
      <c r="V174" s="4" t="s">
        <v>21</v>
      </c>
      <c r="W174" s="4" t="s">
        <v>8</v>
      </c>
      <c r="X174" s="12">
        <v>73576</v>
      </c>
      <c r="Y174" s="12">
        <v>3</v>
      </c>
      <c r="Z174" s="4" t="s">
        <v>22</v>
      </c>
      <c r="AA174" s="13">
        <f t="shared" si="1"/>
        <v>-220728</v>
      </c>
    </row>
    <row r="175" spans="1:27">
      <c r="A175" s="7">
        <v>0.299375</v>
      </c>
      <c r="B175" s="4" t="s">
        <v>14</v>
      </c>
      <c r="C175" s="4" t="s">
        <v>7</v>
      </c>
      <c r="D175" s="12">
        <v>2.4830000000000001</v>
      </c>
      <c r="E175" s="12">
        <v>1</v>
      </c>
      <c r="F175" s="13">
        <f t="shared" si="0"/>
        <v>2.4830000000000001</v>
      </c>
      <c r="G175" s="17"/>
      <c r="H175" s="17"/>
      <c r="I175" s="17"/>
      <c r="T175" s="12">
        <v>174</v>
      </c>
      <c r="U175" s="7">
        <v>0.82297453703703705</v>
      </c>
      <c r="V175" s="4" t="s">
        <v>23</v>
      </c>
      <c r="W175" s="4" t="s">
        <v>7</v>
      </c>
      <c r="X175" s="12">
        <v>72801</v>
      </c>
      <c r="Y175" s="12">
        <v>3</v>
      </c>
      <c r="Z175" s="4" t="s">
        <v>22</v>
      </c>
      <c r="AA175" s="13">
        <f t="shared" si="1"/>
        <v>218403</v>
      </c>
    </row>
    <row r="176" spans="1:27">
      <c r="A176" s="7">
        <v>0.29909722222222224</v>
      </c>
      <c r="B176" s="4" t="s">
        <v>14</v>
      </c>
      <c r="C176" s="4" t="s">
        <v>7</v>
      </c>
      <c r="D176" s="12">
        <v>2.4830000000000001</v>
      </c>
      <c r="E176" s="12">
        <v>1</v>
      </c>
      <c r="F176" s="13">
        <f t="shared" si="0"/>
        <v>2.4830000000000001</v>
      </c>
      <c r="G176" s="17"/>
      <c r="H176" s="17"/>
      <c r="I176" s="17"/>
      <c r="T176" s="12">
        <v>175</v>
      </c>
      <c r="U176" s="7">
        <v>0.82297453703703705</v>
      </c>
      <c r="V176" s="4" t="s">
        <v>21</v>
      </c>
      <c r="W176" s="4" t="s">
        <v>8</v>
      </c>
      <c r="X176" s="12">
        <v>73576</v>
      </c>
      <c r="Y176" s="12">
        <v>3</v>
      </c>
      <c r="Z176" s="4" t="s">
        <v>22</v>
      </c>
      <c r="AA176" s="13">
        <f t="shared" si="1"/>
        <v>-220728</v>
      </c>
    </row>
    <row r="177" spans="1:27">
      <c r="A177" s="7">
        <v>0.29724537037037035</v>
      </c>
      <c r="B177" s="4" t="s">
        <v>14</v>
      </c>
      <c r="C177" s="4" t="s">
        <v>8</v>
      </c>
      <c r="D177" s="12">
        <v>2.4830000000000001</v>
      </c>
      <c r="E177" s="12">
        <v>59</v>
      </c>
      <c r="F177" s="13">
        <f t="shared" si="0"/>
        <v>-146.49700000000001</v>
      </c>
      <c r="G177" s="17"/>
      <c r="H177" s="17"/>
      <c r="I177" s="17"/>
      <c r="T177" s="12">
        <v>176</v>
      </c>
      <c r="U177" s="7">
        <v>0.82297453703703705</v>
      </c>
      <c r="V177" s="4" t="s">
        <v>23</v>
      </c>
      <c r="W177" s="4" t="s">
        <v>7</v>
      </c>
      <c r="X177" s="12">
        <v>72801</v>
      </c>
      <c r="Y177" s="12">
        <v>3</v>
      </c>
      <c r="Z177" s="4" t="s">
        <v>22</v>
      </c>
      <c r="AA177" s="13">
        <f t="shared" si="1"/>
        <v>218403</v>
      </c>
    </row>
    <row r="178" spans="1:27">
      <c r="A178" s="17"/>
      <c r="B178" s="17"/>
      <c r="C178" s="17"/>
      <c r="D178" s="18"/>
      <c r="E178" s="17"/>
      <c r="F178" s="19">
        <f>SUM(F31:F177)</f>
        <v>3375634.7050000005</v>
      </c>
      <c r="G178" s="17"/>
      <c r="H178" s="17"/>
      <c r="I178" s="17"/>
      <c r="T178" s="12">
        <v>177</v>
      </c>
      <c r="U178" s="7">
        <v>0.82295138888888886</v>
      </c>
      <c r="V178" s="4" t="s">
        <v>21</v>
      </c>
      <c r="W178" s="4" t="s">
        <v>8</v>
      </c>
      <c r="X178" s="12">
        <v>73576</v>
      </c>
      <c r="Y178" s="12">
        <v>3</v>
      </c>
      <c r="Z178" s="4" t="s">
        <v>22</v>
      </c>
      <c r="AA178" s="13">
        <f t="shared" si="1"/>
        <v>-220728</v>
      </c>
    </row>
    <row r="179" spans="1:27">
      <c r="A179" s="17"/>
      <c r="B179" s="17"/>
      <c r="C179" s="17"/>
      <c r="D179" s="18"/>
      <c r="E179" s="17"/>
      <c r="F179" s="20"/>
      <c r="G179" s="17"/>
      <c r="H179" s="17"/>
      <c r="I179" s="17"/>
      <c r="T179" s="12">
        <v>178</v>
      </c>
      <c r="U179" s="7">
        <v>0.82295138888888886</v>
      </c>
      <c r="V179" s="4" t="s">
        <v>23</v>
      </c>
      <c r="W179" s="4" t="s">
        <v>7</v>
      </c>
      <c r="X179" s="12">
        <v>72801</v>
      </c>
      <c r="Y179" s="12">
        <v>3</v>
      </c>
      <c r="Z179" s="4" t="s">
        <v>22</v>
      </c>
      <c r="AA179" s="13">
        <f t="shared" si="1"/>
        <v>218403</v>
      </c>
    </row>
    <row r="180" spans="1:27">
      <c r="A180" s="17"/>
      <c r="B180" s="17"/>
      <c r="C180" s="17"/>
      <c r="D180" s="18"/>
      <c r="E180" s="17"/>
      <c r="F180" s="20"/>
      <c r="G180" s="17"/>
      <c r="H180" s="17"/>
      <c r="I180" s="17"/>
      <c r="T180" s="12">
        <v>179</v>
      </c>
      <c r="U180" s="7">
        <v>0.82289351851851855</v>
      </c>
      <c r="V180" s="4" t="s">
        <v>21</v>
      </c>
      <c r="W180" s="4" t="s">
        <v>8</v>
      </c>
      <c r="X180" s="12">
        <v>73575</v>
      </c>
      <c r="Y180" s="12">
        <v>3</v>
      </c>
      <c r="Z180" s="4" t="s">
        <v>22</v>
      </c>
      <c r="AA180" s="13">
        <f t="shared" si="1"/>
        <v>-220725</v>
      </c>
    </row>
    <row r="181" spans="1:27">
      <c r="A181" s="17"/>
      <c r="B181" s="17"/>
      <c r="C181" s="17"/>
      <c r="D181" s="18"/>
      <c r="E181" s="17"/>
      <c r="F181" s="20"/>
      <c r="G181" s="17"/>
      <c r="H181" s="17"/>
      <c r="I181" s="17"/>
      <c r="T181" s="12">
        <v>180</v>
      </c>
      <c r="U181" s="7">
        <v>0.82289351851851855</v>
      </c>
      <c r="V181" s="4" t="s">
        <v>23</v>
      </c>
      <c r="W181" s="4" t="s">
        <v>7</v>
      </c>
      <c r="X181" s="12">
        <v>72800</v>
      </c>
      <c r="Y181" s="12">
        <v>3</v>
      </c>
      <c r="Z181" s="4" t="s">
        <v>22</v>
      </c>
      <c r="AA181" s="13">
        <f t="shared" si="1"/>
        <v>218400</v>
      </c>
    </row>
    <row r="182" spans="1:27">
      <c r="A182" s="17"/>
      <c r="B182" s="17"/>
      <c r="C182" s="17"/>
      <c r="D182" s="18"/>
      <c r="E182" s="17"/>
      <c r="F182" s="20"/>
      <c r="G182" s="17"/>
      <c r="H182" s="17"/>
      <c r="I182" s="17"/>
      <c r="T182" s="12">
        <v>181</v>
      </c>
      <c r="U182" s="7">
        <v>0.82276620370370368</v>
      </c>
      <c r="V182" s="4" t="s">
        <v>21</v>
      </c>
      <c r="W182" s="4" t="s">
        <v>8</v>
      </c>
      <c r="X182" s="12">
        <v>73576</v>
      </c>
      <c r="Y182" s="12">
        <v>3</v>
      </c>
      <c r="Z182" s="4" t="s">
        <v>22</v>
      </c>
      <c r="AA182" s="13">
        <f t="shared" si="1"/>
        <v>-220728</v>
      </c>
    </row>
    <row r="183" spans="1:27">
      <c r="A183" s="17"/>
      <c r="B183" s="17"/>
      <c r="C183" s="17"/>
      <c r="D183" s="18"/>
      <c r="E183" s="17"/>
      <c r="F183" s="20"/>
      <c r="G183" s="17"/>
      <c r="H183" s="17"/>
      <c r="I183" s="17"/>
      <c r="T183" s="12">
        <v>182</v>
      </c>
      <c r="U183" s="7">
        <v>0.82276620370370368</v>
      </c>
      <c r="V183" s="4" t="s">
        <v>23</v>
      </c>
      <c r="W183" s="4" t="s">
        <v>7</v>
      </c>
      <c r="X183" s="12">
        <v>72799</v>
      </c>
      <c r="Y183" s="12">
        <v>3</v>
      </c>
      <c r="Z183" s="4" t="s">
        <v>22</v>
      </c>
      <c r="AA183" s="13">
        <f t="shared" si="1"/>
        <v>218397</v>
      </c>
    </row>
    <row r="184" spans="1:27">
      <c r="A184" s="17"/>
      <c r="B184" s="17"/>
      <c r="C184" s="17"/>
      <c r="D184" s="18"/>
      <c r="E184" s="17"/>
      <c r="F184" s="20"/>
      <c r="G184" s="17"/>
      <c r="H184" s="17"/>
      <c r="I184" s="17"/>
      <c r="T184" s="12">
        <v>183</v>
      </c>
      <c r="U184" s="7">
        <v>0.82273148148148145</v>
      </c>
      <c r="V184" s="4" t="s">
        <v>21</v>
      </c>
      <c r="W184" s="4" t="s">
        <v>8</v>
      </c>
      <c r="X184" s="12">
        <v>73575</v>
      </c>
      <c r="Y184" s="12">
        <v>1</v>
      </c>
      <c r="Z184" s="4" t="s">
        <v>22</v>
      </c>
      <c r="AA184" s="13">
        <f t="shared" si="1"/>
        <v>-73575</v>
      </c>
    </row>
    <row r="185" spans="1:27">
      <c r="A185" s="17"/>
      <c r="B185" s="17"/>
      <c r="C185" s="17"/>
      <c r="D185" s="18"/>
      <c r="E185" s="17"/>
      <c r="F185" s="20"/>
      <c r="G185" s="17"/>
      <c r="H185" s="17"/>
      <c r="I185" s="17"/>
      <c r="T185" s="12">
        <v>184</v>
      </c>
      <c r="U185" s="7">
        <v>0.82273148148148145</v>
      </c>
      <c r="V185" s="4" t="s">
        <v>21</v>
      </c>
      <c r="W185" s="4" t="s">
        <v>8</v>
      </c>
      <c r="X185" s="12">
        <v>73573</v>
      </c>
      <c r="Y185" s="12">
        <v>2</v>
      </c>
      <c r="Z185" s="4" t="s">
        <v>22</v>
      </c>
      <c r="AA185" s="13">
        <f t="shared" si="1"/>
        <v>-147146</v>
      </c>
    </row>
    <row r="186" spans="1:27">
      <c r="A186" s="17"/>
      <c r="B186" s="17"/>
      <c r="C186" s="17"/>
      <c r="D186" s="18"/>
      <c r="E186" s="17"/>
      <c r="F186" s="20"/>
      <c r="G186" s="17"/>
      <c r="H186" s="17"/>
      <c r="I186" s="17"/>
      <c r="T186" s="12">
        <v>185</v>
      </c>
      <c r="U186" s="7">
        <v>0.82273148148148145</v>
      </c>
      <c r="V186" s="4" t="s">
        <v>23</v>
      </c>
      <c r="W186" s="4" t="s">
        <v>7</v>
      </c>
      <c r="X186" s="12">
        <v>72798</v>
      </c>
      <c r="Y186" s="12">
        <v>3</v>
      </c>
      <c r="Z186" s="4" t="s">
        <v>22</v>
      </c>
      <c r="AA186" s="13">
        <f t="shared" si="1"/>
        <v>218394</v>
      </c>
    </row>
    <row r="187" spans="1:27">
      <c r="A187" s="17"/>
      <c r="B187" s="17"/>
      <c r="C187" s="17"/>
      <c r="D187" s="18"/>
      <c r="E187" s="17"/>
      <c r="F187" s="20"/>
      <c r="G187" s="17"/>
      <c r="H187" s="17"/>
      <c r="I187" s="17"/>
      <c r="T187" s="12">
        <v>186</v>
      </c>
      <c r="U187" s="7">
        <v>0.82273148148148145</v>
      </c>
      <c r="V187" s="4" t="s">
        <v>21</v>
      </c>
      <c r="W187" s="4" t="s">
        <v>8</v>
      </c>
      <c r="X187" s="12">
        <v>73573</v>
      </c>
      <c r="Y187" s="12">
        <v>3</v>
      </c>
      <c r="Z187" s="4" t="s">
        <v>22</v>
      </c>
      <c r="AA187" s="13">
        <f t="shared" si="1"/>
        <v>-220719</v>
      </c>
    </row>
    <row r="188" spans="1:27">
      <c r="A188" s="17"/>
      <c r="B188" s="17"/>
      <c r="C188" s="17"/>
      <c r="D188" s="18"/>
      <c r="E188" s="17"/>
      <c r="F188" s="20"/>
      <c r="G188" s="17"/>
      <c r="H188" s="17"/>
      <c r="I188" s="17"/>
      <c r="T188" s="12">
        <v>187</v>
      </c>
      <c r="U188" s="7">
        <v>0.82273148148148145</v>
      </c>
      <c r="V188" s="4" t="s">
        <v>23</v>
      </c>
      <c r="W188" s="4" t="s">
        <v>7</v>
      </c>
      <c r="X188" s="12">
        <v>72798</v>
      </c>
      <c r="Y188" s="12">
        <v>3</v>
      </c>
      <c r="Z188" s="4" t="s">
        <v>22</v>
      </c>
      <c r="AA188" s="13">
        <f t="shared" si="1"/>
        <v>218394</v>
      </c>
    </row>
    <row r="189" spans="1:27">
      <c r="A189" s="17"/>
      <c r="B189" s="17"/>
      <c r="C189" s="17"/>
      <c r="D189" s="18"/>
      <c r="E189" s="17"/>
      <c r="F189" s="20"/>
      <c r="G189" s="17"/>
      <c r="H189" s="17"/>
      <c r="I189" s="17"/>
      <c r="T189" s="12">
        <v>188</v>
      </c>
      <c r="U189" s="7">
        <v>0.82268518518518519</v>
      </c>
      <c r="V189" s="4" t="s">
        <v>21</v>
      </c>
      <c r="W189" s="4" t="s">
        <v>8</v>
      </c>
      <c r="X189" s="12">
        <v>73573</v>
      </c>
      <c r="Y189" s="12">
        <v>1</v>
      </c>
      <c r="Z189" s="4" t="s">
        <v>22</v>
      </c>
      <c r="AA189" s="13">
        <f t="shared" si="1"/>
        <v>-73573</v>
      </c>
    </row>
    <row r="190" spans="1:27">
      <c r="A190" s="17"/>
      <c r="B190" s="17"/>
      <c r="C190" s="17"/>
      <c r="D190" s="18"/>
      <c r="E190" s="17"/>
      <c r="F190" s="20"/>
      <c r="G190" s="17"/>
      <c r="H190" s="17"/>
      <c r="I190" s="17"/>
      <c r="T190" s="12">
        <v>189</v>
      </c>
      <c r="U190" s="7">
        <v>0.82268518518518519</v>
      </c>
      <c r="V190" s="4" t="s">
        <v>23</v>
      </c>
      <c r="W190" s="4" t="s">
        <v>7</v>
      </c>
      <c r="X190" s="12">
        <v>72798</v>
      </c>
      <c r="Y190" s="12">
        <v>1</v>
      </c>
      <c r="Z190" s="4" t="s">
        <v>22</v>
      </c>
      <c r="AA190" s="13">
        <f t="shared" si="1"/>
        <v>72798</v>
      </c>
    </row>
    <row r="191" spans="1:27">
      <c r="A191" s="17"/>
      <c r="B191" s="17"/>
      <c r="C191" s="17"/>
      <c r="D191" s="18"/>
      <c r="E191" s="17"/>
      <c r="F191" s="20"/>
      <c r="G191" s="17"/>
      <c r="H191" s="17"/>
      <c r="I191" s="17"/>
      <c r="T191" s="12">
        <v>190</v>
      </c>
      <c r="U191" s="7">
        <v>0.82267361111111115</v>
      </c>
      <c r="V191" s="4" t="s">
        <v>21</v>
      </c>
      <c r="W191" s="4" t="s">
        <v>8</v>
      </c>
      <c r="X191" s="12">
        <v>73573</v>
      </c>
      <c r="Y191" s="12">
        <v>3</v>
      </c>
      <c r="Z191" s="4" t="s">
        <v>22</v>
      </c>
      <c r="AA191" s="13">
        <f t="shared" si="1"/>
        <v>-220719</v>
      </c>
    </row>
    <row r="192" spans="1:27">
      <c r="A192" s="17"/>
      <c r="B192" s="17"/>
      <c r="C192" s="17"/>
      <c r="D192" s="18"/>
      <c r="E192" s="17"/>
      <c r="F192" s="20"/>
      <c r="G192" s="17"/>
      <c r="H192" s="17"/>
      <c r="I192" s="17"/>
      <c r="T192" s="12">
        <v>191</v>
      </c>
      <c r="U192" s="7">
        <v>0.82267361111111115</v>
      </c>
      <c r="V192" s="4" t="s">
        <v>23</v>
      </c>
      <c r="W192" s="4" t="s">
        <v>7</v>
      </c>
      <c r="X192" s="12">
        <v>72798</v>
      </c>
      <c r="Y192" s="12">
        <v>3</v>
      </c>
      <c r="Z192" s="4" t="s">
        <v>22</v>
      </c>
      <c r="AA192" s="13">
        <f t="shared" si="1"/>
        <v>218394</v>
      </c>
    </row>
    <row r="193" spans="1:27">
      <c r="A193" s="17"/>
      <c r="B193" s="17"/>
      <c r="C193" s="17"/>
      <c r="D193" s="18"/>
      <c r="E193" s="17"/>
      <c r="F193" s="20"/>
      <c r="G193" s="17"/>
      <c r="H193" s="17"/>
      <c r="I193" s="17"/>
      <c r="T193" s="12">
        <v>192</v>
      </c>
      <c r="U193" s="7">
        <v>0.82265046296296296</v>
      </c>
      <c r="V193" s="4" t="s">
        <v>21</v>
      </c>
      <c r="W193" s="4" t="s">
        <v>8</v>
      </c>
      <c r="X193" s="12">
        <v>73569</v>
      </c>
      <c r="Y193" s="12">
        <v>1</v>
      </c>
      <c r="Z193" s="4" t="s">
        <v>22</v>
      </c>
      <c r="AA193" s="13">
        <f t="shared" si="1"/>
        <v>-73569</v>
      </c>
    </row>
    <row r="194" spans="1:27">
      <c r="A194" s="17"/>
      <c r="B194" s="17"/>
      <c r="C194" s="17"/>
      <c r="D194" s="18"/>
      <c r="E194" s="17"/>
      <c r="F194" s="20"/>
      <c r="G194" s="17"/>
      <c r="H194" s="17"/>
      <c r="I194" s="17"/>
      <c r="T194" s="12">
        <v>193</v>
      </c>
      <c r="U194" s="7">
        <v>0.82265046296296296</v>
      </c>
      <c r="V194" s="4" t="s">
        <v>23</v>
      </c>
      <c r="W194" s="4" t="s">
        <v>7</v>
      </c>
      <c r="X194" s="12">
        <v>72794</v>
      </c>
      <c r="Y194" s="12">
        <v>1</v>
      </c>
      <c r="Z194" s="4" t="s">
        <v>22</v>
      </c>
      <c r="AA194" s="13">
        <f t="shared" si="1"/>
        <v>72794</v>
      </c>
    </row>
    <row r="195" spans="1:27">
      <c r="A195" s="17"/>
      <c r="B195" s="17"/>
      <c r="C195" s="17"/>
      <c r="D195" s="18"/>
      <c r="E195" s="17"/>
      <c r="F195" s="20"/>
      <c r="G195" s="17"/>
      <c r="H195" s="17"/>
      <c r="I195" s="17"/>
      <c r="T195" s="12">
        <v>194</v>
      </c>
      <c r="U195" s="7">
        <v>0.82265046296296296</v>
      </c>
      <c r="V195" s="4" t="s">
        <v>21</v>
      </c>
      <c r="W195" s="4" t="s">
        <v>8</v>
      </c>
      <c r="X195" s="12">
        <v>73569</v>
      </c>
      <c r="Y195" s="12">
        <v>1</v>
      </c>
      <c r="Z195" s="4" t="s">
        <v>22</v>
      </c>
      <c r="AA195" s="13">
        <f t="shared" si="1"/>
        <v>-73569</v>
      </c>
    </row>
    <row r="196" spans="1:27">
      <c r="A196" s="17"/>
      <c r="B196" s="17"/>
      <c r="C196" s="17"/>
      <c r="D196" s="18"/>
      <c r="E196" s="17"/>
      <c r="F196" s="20"/>
      <c r="G196" s="17"/>
      <c r="H196" s="17"/>
      <c r="I196" s="17"/>
      <c r="T196" s="12">
        <v>195</v>
      </c>
      <c r="U196" s="7">
        <v>0.82265046296296296</v>
      </c>
      <c r="V196" s="4" t="s">
        <v>23</v>
      </c>
      <c r="W196" s="4" t="s">
        <v>7</v>
      </c>
      <c r="X196" s="12">
        <v>72794</v>
      </c>
      <c r="Y196" s="12">
        <v>1</v>
      </c>
      <c r="Z196" s="4" t="s">
        <v>22</v>
      </c>
      <c r="AA196" s="13">
        <f t="shared" si="1"/>
        <v>72794</v>
      </c>
    </row>
    <row r="197" spans="1:27">
      <c r="A197" s="17"/>
      <c r="B197" s="17"/>
      <c r="C197" s="17"/>
      <c r="D197" s="18"/>
      <c r="E197" s="17"/>
      <c r="F197" s="20"/>
      <c r="G197" s="17"/>
      <c r="H197" s="17"/>
      <c r="I197" s="17"/>
      <c r="T197" s="12">
        <v>196</v>
      </c>
      <c r="U197" s="7">
        <v>0.82262731481481477</v>
      </c>
      <c r="V197" s="4" t="s">
        <v>21</v>
      </c>
      <c r="W197" s="4" t="s">
        <v>8</v>
      </c>
      <c r="X197" s="12">
        <v>73569</v>
      </c>
      <c r="Y197" s="12">
        <v>2</v>
      </c>
      <c r="Z197" s="4" t="s">
        <v>22</v>
      </c>
      <c r="AA197" s="13">
        <f t="shared" si="1"/>
        <v>-147138</v>
      </c>
    </row>
    <row r="198" spans="1:27">
      <c r="A198" s="17"/>
      <c r="B198" s="17"/>
      <c r="C198" s="17"/>
      <c r="D198" s="18"/>
      <c r="E198" s="17"/>
      <c r="F198" s="20"/>
      <c r="G198" s="17"/>
      <c r="H198" s="17"/>
      <c r="T198" s="12">
        <v>197</v>
      </c>
      <c r="U198" s="7">
        <v>0.82262731481481477</v>
      </c>
      <c r="V198" s="4" t="s">
        <v>21</v>
      </c>
      <c r="W198" s="4" t="s">
        <v>8</v>
      </c>
      <c r="X198" s="12">
        <v>73569</v>
      </c>
      <c r="Y198" s="12">
        <v>1</v>
      </c>
      <c r="Z198" s="4" t="s">
        <v>22</v>
      </c>
      <c r="AA198" s="13">
        <f t="shared" si="1"/>
        <v>-73569</v>
      </c>
    </row>
    <row r="199" spans="1:27">
      <c r="A199" s="17"/>
      <c r="B199" s="17"/>
      <c r="C199" s="17"/>
      <c r="D199" s="18"/>
      <c r="E199" s="17"/>
      <c r="F199" s="20"/>
      <c r="G199" s="17"/>
      <c r="H199" s="17"/>
      <c r="N199" s="15"/>
      <c r="T199" s="12">
        <v>198</v>
      </c>
      <c r="U199" s="7">
        <v>0.82262731481481477</v>
      </c>
      <c r="V199" s="4" t="s">
        <v>23</v>
      </c>
      <c r="W199" s="4" t="s">
        <v>7</v>
      </c>
      <c r="X199" s="12">
        <v>72794</v>
      </c>
      <c r="Y199" s="12">
        <v>3</v>
      </c>
      <c r="Z199" s="4" t="s">
        <v>22</v>
      </c>
      <c r="AA199" s="13">
        <f t="shared" si="1"/>
        <v>218382</v>
      </c>
    </row>
    <row r="200" spans="1:27">
      <c r="A200" s="17"/>
      <c r="B200" s="17"/>
      <c r="C200" s="17"/>
      <c r="D200" s="18"/>
      <c r="E200" s="17"/>
      <c r="F200" s="20"/>
      <c r="G200" s="17"/>
      <c r="H200" s="17"/>
      <c r="N200" s="15"/>
      <c r="T200" s="12">
        <v>199</v>
      </c>
      <c r="U200" s="7">
        <v>0.8225810185185185</v>
      </c>
      <c r="V200" s="4" t="s">
        <v>21</v>
      </c>
      <c r="W200" s="4" t="s">
        <v>8</v>
      </c>
      <c r="X200" s="12">
        <v>73572</v>
      </c>
      <c r="Y200" s="12">
        <v>1</v>
      </c>
      <c r="Z200" s="4" t="s">
        <v>22</v>
      </c>
      <c r="AA200" s="13">
        <f t="shared" si="1"/>
        <v>-73572</v>
      </c>
    </row>
    <row r="201" spans="1:27">
      <c r="A201" s="17"/>
      <c r="B201" s="17"/>
      <c r="C201" s="17"/>
      <c r="D201" s="18"/>
      <c r="E201" s="17"/>
      <c r="F201" s="20"/>
      <c r="G201" s="17"/>
      <c r="H201" s="17"/>
      <c r="N201" s="15"/>
      <c r="T201" s="12">
        <v>200</v>
      </c>
      <c r="U201" s="7">
        <v>0.8225810185185185</v>
      </c>
      <c r="V201" s="4" t="s">
        <v>23</v>
      </c>
      <c r="W201" s="4" t="s">
        <v>7</v>
      </c>
      <c r="X201" s="12">
        <v>72795</v>
      </c>
      <c r="Y201" s="12">
        <v>1</v>
      </c>
      <c r="Z201" s="4" t="s">
        <v>22</v>
      </c>
      <c r="AA201" s="13">
        <f t="shared" si="1"/>
        <v>72795</v>
      </c>
    </row>
    <row r="202" spans="1:27">
      <c r="A202" s="17"/>
      <c r="B202" s="17"/>
      <c r="C202" s="17"/>
      <c r="D202" s="18"/>
      <c r="E202" s="17"/>
      <c r="F202" s="20"/>
      <c r="G202" s="17"/>
      <c r="H202" s="17"/>
      <c r="N202" s="15"/>
      <c r="T202" s="12">
        <v>201</v>
      </c>
      <c r="U202" s="7">
        <v>0.82229166666666664</v>
      </c>
      <c r="V202" s="4" t="s">
        <v>21</v>
      </c>
      <c r="W202" s="4" t="s">
        <v>8</v>
      </c>
      <c r="X202" s="12">
        <v>73580</v>
      </c>
      <c r="Y202" s="12">
        <v>3</v>
      </c>
      <c r="Z202" s="4" t="s">
        <v>22</v>
      </c>
      <c r="AA202" s="13">
        <f t="shared" si="1"/>
        <v>-220740</v>
      </c>
    </row>
    <row r="203" spans="1:27">
      <c r="A203" s="17"/>
      <c r="B203" s="17"/>
      <c r="C203" s="17"/>
      <c r="D203" s="18"/>
      <c r="E203" s="17"/>
      <c r="F203" s="20"/>
      <c r="G203" s="17"/>
      <c r="H203" s="17"/>
      <c r="N203" s="15"/>
      <c r="T203" s="12">
        <v>202</v>
      </c>
      <c r="U203" s="7">
        <v>0.82229166666666664</v>
      </c>
      <c r="V203" s="4" t="s">
        <v>23</v>
      </c>
      <c r="W203" s="4" t="s">
        <v>7</v>
      </c>
      <c r="X203" s="12">
        <v>72802</v>
      </c>
      <c r="Y203" s="12">
        <v>3</v>
      </c>
      <c r="Z203" s="4" t="s">
        <v>22</v>
      </c>
      <c r="AA203" s="13">
        <f t="shared" si="1"/>
        <v>218406</v>
      </c>
    </row>
    <row r="204" spans="1:27">
      <c r="A204" s="17"/>
      <c r="B204" s="17"/>
      <c r="C204" s="17"/>
      <c r="D204" s="18"/>
      <c r="E204" s="17"/>
      <c r="F204" s="20"/>
      <c r="G204" s="17"/>
      <c r="H204" s="17"/>
      <c r="N204" s="15"/>
      <c r="T204" s="12">
        <v>203</v>
      </c>
      <c r="U204" s="7">
        <v>0.82229166666666664</v>
      </c>
      <c r="V204" s="4" t="s">
        <v>21</v>
      </c>
      <c r="W204" s="4" t="s">
        <v>8</v>
      </c>
      <c r="X204" s="12">
        <v>73577</v>
      </c>
      <c r="Y204" s="12">
        <v>3</v>
      </c>
      <c r="Z204" s="4" t="s">
        <v>22</v>
      </c>
      <c r="AA204" s="13">
        <f t="shared" si="1"/>
        <v>-220731</v>
      </c>
    </row>
    <row r="205" spans="1:27">
      <c r="A205" s="17"/>
      <c r="B205" s="17"/>
      <c r="C205" s="17"/>
      <c r="D205" s="18"/>
      <c r="E205" s="17"/>
      <c r="F205" s="20"/>
      <c r="G205" s="17"/>
      <c r="H205" s="17"/>
      <c r="N205" s="15"/>
      <c r="T205" s="12">
        <v>204</v>
      </c>
      <c r="U205" s="7">
        <v>0.82229166666666664</v>
      </c>
      <c r="V205" s="4" t="s">
        <v>23</v>
      </c>
      <c r="W205" s="4" t="s">
        <v>7</v>
      </c>
      <c r="X205" s="12">
        <v>72802</v>
      </c>
      <c r="Y205" s="12">
        <v>3</v>
      </c>
      <c r="Z205" s="4" t="s">
        <v>22</v>
      </c>
      <c r="AA205" s="13">
        <f t="shared" si="1"/>
        <v>218406</v>
      </c>
    </row>
    <row r="206" spans="1:27">
      <c r="A206" s="17"/>
      <c r="B206" s="17"/>
      <c r="C206" s="17"/>
      <c r="D206" s="18"/>
      <c r="E206" s="17"/>
      <c r="F206" s="20"/>
      <c r="G206" s="17"/>
      <c r="H206" s="17"/>
      <c r="N206" s="15"/>
      <c r="T206" s="12">
        <v>205</v>
      </c>
      <c r="U206" s="7">
        <v>0.82171296296296292</v>
      </c>
      <c r="V206" s="4" t="s">
        <v>21</v>
      </c>
      <c r="W206" s="4" t="s">
        <v>8</v>
      </c>
      <c r="X206" s="12">
        <v>73600</v>
      </c>
      <c r="Y206" s="12">
        <v>3</v>
      </c>
      <c r="Z206" s="4" t="s">
        <v>22</v>
      </c>
      <c r="AA206" s="13">
        <f t="shared" si="1"/>
        <v>-220800</v>
      </c>
    </row>
    <row r="207" spans="1:27">
      <c r="A207" s="17"/>
      <c r="B207" s="17"/>
      <c r="C207" s="17"/>
      <c r="D207" s="18"/>
      <c r="E207" s="17"/>
      <c r="F207" s="20"/>
      <c r="G207" s="17"/>
      <c r="H207" s="17"/>
      <c r="N207" s="15"/>
      <c r="T207" s="12">
        <v>206</v>
      </c>
      <c r="U207" s="7">
        <v>0.82171296296296292</v>
      </c>
      <c r="V207" s="4" t="s">
        <v>23</v>
      </c>
      <c r="W207" s="4" t="s">
        <v>7</v>
      </c>
      <c r="X207" s="12">
        <v>72825</v>
      </c>
      <c r="Y207" s="12">
        <v>3</v>
      </c>
      <c r="Z207" s="4" t="s">
        <v>22</v>
      </c>
      <c r="AA207" s="13">
        <f t="shared" si="1"/>
        <v>218475</v>
      </c>
    </row>
    <row r="208" spans="1:27">
      <c r="A208" s="17"/>
      <c r="B208" s="17"/>
      <c r="C208" s="17"/>
      <c r="D208" s="18"/>
      <c r="E208" s="17"/>
      <c r="F208" s="20"/>
      <c r="G208" s="17"/>
      <c r="H208" s="17"/>
      <c r="N208" s="15"/>
      <c r="T208" s="12">
        <v>207</v>
      </c>
      <c r="U208" s="7">
        <v>0.82168981481481485</v>
      </c>
      <c r="V208" s="4" t="s">
        <v>21</v>
      </c>
      <c r="W208" s="4" t="s">
        <v>8</v>
      </c>
      <c r="X208" s="12">
        <v>73600</v>
      </c>
      <c r="Y208" s="12">
        <v>1</v>
      </c>
      <c r="Z208" s="4" t="s">
        <v>22</v>
      </c>
      <c r="AA208" s="13">
        <f t="shared" si="1"/>
        <v>-73600</v>
      </c>
    </row>
    <row r="209" spans="1:27">
      <c r="A209" s="17"/>
      <c r="B209" s="17"/>
      <c r="C209" s="17"/>
      <c r="D209" s="18"/>
      <c r="E209" s="17"/>
      <c r="F209" s="20"/>
      <c r="G209" s="17"/>
      <c r="H209" s="17"/>
      <c r="N209" s="15"/>
      <c r="T209" s="12">
        <v>208</v>
      </c>
      <c r="U209" s="7">
        <v>0.82168981481481485</v>
      </c>
      <c r="V209" s="4" t="s">
        <v>23</v>
      </c>
      <c r="W209" s="4" t="s">
        <v>7</v>
      </c>
      <c r="X209" s="12">
        <v>72825</v>
      </c>
      <c r="Y209" s="12">
        <v>1</v>
      </c>
      <c r="Z209" s="4" t="s">
        <v>22</v>
      </c>
      <c r="AA209" s="13">
        <f t="shared" si="1"/>
        <v>72825</v>
      </c>
    </row>
    <row r="210" spans="1:27">
      <c r="A210" s="17"/>
      <c r="B210" s="17"/>
      <c r="C210" s="17"/>
      <c r="D210" s="18"/>
      <c r="E210" s="17"/>
      <c r="F210" s="20"/>
      <c r="G210" s="17"/>
      <c r="H210" s="17"/>
      <c r="N210" s="15"/>
      <c r="T210" s="12">
        <v>209</v>
      </c>
      <c r="U210" s="7">
        <v>0.8216782407407407</v>
      </c>
      <c r="V210" s="4" t="s">
        <v>21</v>
      </c>
      <c r="W210" s="4" t="s">
        <v>8</v>
      </c>
      <c r="X210" s="12">
        <v>73600</v>
      </c>
      <c r="Y210" s="12">
        <v>1</v>
      </c>
      <c r="Z210" s="4" t="s">
        <v>22</v>
      </c>
      <c r="AA210" s="13">
        <f t="shared" si="1"/>
        <v>-73600</v>
      </c>
    </row>
    <row r="211" spans="1:27">
      <c r="A211" s="17"/>
      <c r="B211" s="17"/>
      <c r="C211" s="17"/>
      <c r="D211" s="18"/>
      <c r="E211" s="17"/>
      <c r="F211" s="20"/>
      <c r="G211" s="17"/>
      <c r="H211" s="17"/>
      <c r="N211" s="15"/>
      <c r="T211" s="12">
        <v>210</v>
      </c>
      <c r="U211" s="7">
        <v>0.8216782407407407</v>
      </c>
      <c r="V211" s="4" t="s">
        <v>23</v>
      </c>
      <c r="W211" s="4" t="s">
        <v>7</v>
      </c>
      <c r="X211" s="12">
        <v>72825</v>
      </c>
      <c r="Y211" s="12">
        <v>1</v>
      </c>
      <c r="Z211" s="4" t="s">
        <v>22</v>
      </c>
      <c r="AA211" s="13">
        <f t="shared" si="1"/>
        <v>72825</v>
      </c>
    </row>
    <row r="212" spans="1:27">
      <c r="A212" s="17"/>
      <c r="B212" s="17"/>
      <c r="C212" s="17"/>
      <c r="D212" s="18"/>
      <c r="E212" s="17"/>
      <c r="F212" s="20"/>
      <c r="G212" s="17"/>
      <c r="H212" s="17"/>
      <c r="N212" s="15"/>
      <c r="T212" s="12">
        <v>211</v>
      </c>
      <c r="U212" s="7">
        <v>0.82166666666666666</v>
      </c>
      <c r="V212" s="4" t="s">
        <v>21</v>
      </c>
      <c r="W212" s="4" t="s">
        <v>8</v>
      </c>
      <c r="X212" s="12">
        <v>73600</v>
      </c>
      <c r="Y212" s="12">
        <v>1</v>
      </c>
      <c r="Z212" s="4" t="s">
        <v>22</v>
      </c>
      <c r="AA212" s="13">
        <f t="shared" si="1"/>
        <v>-73600</v>
      </c>
    </row>
    <row r="213" spans="1:27">
      <c r="A213" s="17"/>
      <c r="B213" s="17"/>
      <c r="C213" s="17"/>
      <c r="D213" s="18"/>
      <c r="E213" s="17"/>
      <c r="F213" s="20"/>
      <c r="G213" s="17"/>
      <c r="H213" s="17"/>
      <c r="N213" s="15"/>
      <c r="T213" s="12">
        <v>212</v>
      </c>
      <c r="U213" s="7">
        <v>0.82166666666666666</v>
      </c>
      <c r="V213" s="4" t="s">
        <v>23</v>
      </c>
      <c r="W213" s="4" t="s">
        <v>7</v>
      </c>
      <c r="X213" s="12">
        <v>72825</v>
      </c>
      <c r="Y213" s="12">
        <v>1</v>
      </c>
      <c r="Z213" s="4" t="s">
        <v>22</v>
      </c>
      <c r="AA213" s="13">
        <f t="shared" si="1"/>
        <v>72825</v>
      </c>
    </row>
    <row r="214" spans="1:27">
      <c r="A214" s="17"/>
      <c r="B214" s="17"/>
      <c r="C214" s="17"/>
      <c r="D214" s="18"/>
      <c r="E214" s="17"/>
      <c r="F214" s="20"/>
      <c r="G214" s="17"/>
      <c r="H214" s="17"/>
      <c r="N214" s="15"/>
      <c r="T214" s="12">
        <v>213</v>
      </c>
      <c r="U214" s="7">
        <v>0.82166666666666666</v>
      </c>
      <c r="V214" s="4" t="s">
        <v>21</v>
      </c>
      <c r="W214" s="4" t="s">
        <v>8</v>
      </c>
      <c r="X214" s="12">
        <v>73600</v>
      </c>
      <c r="Y214" s="12">
        <v>3</v>
      </c>
      <c r="Z214" s="4" t="s">
        <v>22</v>
      </c>
      <c r="AA214" s="13">
        <f t="shared" si="1"/>
        <v>-220800</v>
      </c>
    </row>
    <row r="215" spans="1:27">
      <c r="A215" s="17"/>
      <c r="B215" s="17"/>
      <c r="C215" s="17"/>
      <c r="D215" s="18"/>
      <c r="E215" s="17"/>
      <c r="F215" s="20"/>
      <c r="G215" s="17"/>
      <c r="H215" s="17"/>
      <c r="N215" s="15"/>
      <c r="T215" s="12">
        <v>214</v>
      </c>
      <c r="U215" s="7">
        <v>0.82166666666666666</v>
      </c>
      <c r="V215" s="4" t="s">
        <v>23</v>
      </c>
      <c r="W215" s="4" t="s">
        <v>7</v>
      </c>
      <c r="X215" s="12">
        <v>72825</v>
      </c>
      <c r="Y215" s="12">
        <v>3</v>
      </c>
      <c r="Z215" s="4" t="s">
        <v>22</v>
      </c>
      <c r="AA215" s="13">
        <f t="shared" si="1"/>
        <v>218475</v>
      </c>
    </row>
    <row r="216" spans="1:27">
      <c r="A216" s="17"/>
      <c r="B216" s="17"/>
      <c r="C216" s="17"/>
      <c r="D216" s="18"/>
      <c r="E216" s="17"/>
      <c r="F216" s="20"/>
      <c r="G216" s="17"/>
      <c r="H216" s="17"/>
      <c r="N216" s="15"/>
      <c r="T216" s="12">
        <v>215</v>
      </c>
      <c r="U216" s="7">
        <v>0.8215972222222222</v>
      </c>
      <c r="V216" s="4" t="s">
        <v>21</v>
      </c>
      <c r="W216" s="4" t="s">
        <v>8</v>
      </c>
      <c r="X216" s="12">
        <v>73598</v>
      </c>
      <c r="Y216" s="12">
        <v>2</v>
      </c>
      <c r="Z216" s="4" t="s">
        <v>22</v>
      </c>
      <c r="AA216" s="13">
        <f t="shared" si="1"/>
        <v>-147196</v>
      </c>
    </row>
    <row r="217" spans="1:27">
      <c r="A217" s="17"/>
      <c r="B217" s="17"/>
      <c r="C217" s="17"/>
      <c r="D217" s="18"/>
      <c r="E217" s="17"/>
      <c r="F217" s="20"/>
      <c r="G217" s="17"/>
      <c r="H217" s="17"/>
      <c r="N217" s="15"/>
      <c r="T217" s="12">
        <v>216</v>
      </c>
      <c r="U217" s="7">
        <v>0.8215972222222222</v>
      </c>
      <c r="V217" s="4" t="s">
        <v>21</v>
      </c>
      <c r="W217" s="4" t="s">
        <v>8</v>
      </c>
      <c r="X217" s="12">
        <v>73598</v>
      </c>
      <c r="Y217" s="12">
        <v>1</v>
      </c>
      <c r="Z217" s="4" t="s">
        <v>22</v>
      </c>
      <c r="AA217" s="13">
        <f t="shared" si="1"/>
        <v>-73598</v>
      </c>
    </row>
    <row r="218" spans="1:27">
      <c r="A218" s="17"/>
      <c r="B218" s="17"/>
      <c r="C218" s="17"/>
      <c r="D218" s="18"/>
      <c r="E218" s="17"/>
      <c r="F218" s="20"/>
      <c r="G218" s="17"/>
      <c r="H218" s="17"/>
      <c r="N218" s="15"/>
      <c r="T218" s="12">
        <v>217</v>
      </c>
      <c r="U218" s="7">
        <v>0.8215972222222222</v>
      </c>
      <c r="V218" s="4" t="s">
        <v>23</v>
      </c>
      <c r="W218" s="4" t="s">
        <v>7</v>
      </c>
      <c r="X218" s="12">
        <v>72823</v>
      </c>
      <c r="Y218" s="12">
        <v>3</v>
      </c>
      <c r="Z218" s="4" t="s">
        <v>22</v>
      </c>
      <c r="AA218" s="13">
        <f t="shared" si="1"/>
        <v>218469</v>
      </c>
    </row>
    <row r="219" spans="1:27">
      <c r="A219" s="17"/>
      <c r="B219" s="17"/>
      <c r="C219" s="17"/>
      <c r="D219" s="18"/>
      <c r="E219" s="17"/>
      <c r="F219" s="20"/>
      <c r="G219" s="17"/>
      <c r="H219" s="17"/>
      <c r="N219" s="15"/>
      <c r="T219" s="12">
        <v>218</v>
      </c>
      <c r="U219" s="7">
        <v>0.82151620370370371</v>
      </c>
      <c r="V219" s="4" t="s">
        <v>21</v>
      </c>
      <c r="W219" s="4" t="s">
        <v>8</v>
      </c>
      <c r="X219" s="12">
        <v>73596</v>
      </c>
      <c r="Y219" s="12">
        <v>1</v>
      </c>
      <c r="Z219" s="4" t="s">
        <v>22</v>
      </c>
      <c r="AA219" s="13">
        <f t="shared" si="1"/>
        <v>-73596</v>
      </c>
    </row>
    <row r="220" spans="1:27">
      <c r="A220" s="17"/>
      <c r="B220" s="17"/>
      <c r="C220" s="17"/>
      <c r="D220" s="18"/>
      <c r="E220" s="17"/>
      <c r="F220" s="20"/>
      <c r="G220" s="17"/>
      <c r="H220" s="17"/>
      <c r="N220" s="15"/>
      <c r="T220" s="12">
        <v>219</v>
      </c>
      <c r="U220" s="7">
        <v>0.82151620370370371</v>
      </c>
      <c r="V220" s="4" t="s">
        <v>23</v>
      </c>
      <c r="W220" s="4" t="s">
        <v>7</v>
      </c>
      <c r="X220" s="12">
        <v>72821</v>
      </c>
      <c r="Y220" s="12">
        <v>1</v>
      </c>
      <c r="Z220" s="4" t="s">
        <v>22</v>
      </c>
      <c r="AA220" s="13">
        <f t="shared" si="1"/>
        <v>72821</v>
      </c>
    </row>
    <row r="221" spans="1:27">
      <c r="A221" s="17"/>
      <c r="B221" s="17"/>
      <c r="C221" s="17"/>
      <c r="D221" s="18"/>
      <c r="E221" s="17"/>
      <c r="F221" s="20"/>
      <c r="G221" s="17"/>
      <c r="H221" s="17"/>
      <c r="N221" s="15"/>
      <c r="T221" s="12">
        <v>220</v>
      </c>
      <c r="U221" s="7">
        <v>0.82151620370370371</v>
      </c>
      <c r="V221" s="4" t="s">
        <v>21</v>
      </c>
      <c r="W221" s="4" t="s">
        <v>8</v>
      </c>
      <c r="X221" s="12">
        <v>73596</v>
      </c>
      <c r="Y221" s="12">
        <v>1</v>
      </c>
      <c r="Z221" s="4" t="s">
        <v>22</v>
      </c>
      <c r="AA221" s="13">
        <f t="shared" si="1"/>
        <v>-73596</v>
      </c>
    </row>
    <row r="222" spans="1:27">
      <c r="A222" s="17"/>
      <c r="B222" s="17"/>
      <c r="C222" s="17"/>
      <c r="D222" s="18"/>
      <c r="E222" s="17"/>
      <c r="F222" s="20"/>
      <c r="G222" s="17"/>
      <c r="H222" s="17"/>
      <c r="N222" s="15"/>
      <c r="T222" s="12">
        <v>221</v>
      </c>
      <c r="U222" s="7">
        <v>0.82151620370370371</v>
      </c>
      <c r="V222" s="4" t="s">
        <v>23</v>
      </c>
      <c r="W222" s="4" t="s">
        <v>7</v>
      </c>
      <c r="X222" s="12">
        <v>72821</v>
      </c>
      <c r="Y222" s="12">
        <v>1</v>
      </c>
      <c r="Z222" s="4" t="s">
        <v>22</v>
      </c>
      <c r="AA222" s="13">
        <f t="shared" si="1"/>
        <v>72821</v>
      </c>
    </row>
    <row r="223" spans="1:27">
      <c r="A223" s="17"/>
      <c r="B223" s="17"/>
      <c r="C223" s="17"/>
      <c r="D223" s="18"/>
      <c r="E223" s="17"/>
      <c r="F223" s="20"/>
      <c r="G223" s="17"/>
      <c r="H223" s="17"/>
      <c r="N223" s="15"/>
      <c r="T223" s="12">
        <v>222</v>
      </c>
      <c r="U223" s="7">
        <v>0.82150462962962967</v>
      </c>
      <c r="V223" s="4" t="s">
        <v>21</v>
      </c>
      <c r="W223" s="4" t="s">
        <v>8</v>
      </c>
      <c r="X223" s="12">
        <v>73596</v>
      </c>
      <c r="Y223" s="12">
        <v>1</v>
      </c>
      <c r="Z223" s="4" t="s">
        <v>22</v>
      </c>
      <c r="AA223" s="13">
        <f t="shared" si="1"/>
        <v>-73596</v>
      </c>
    </row>
    <row r="224" spans="1:27">
      <c r="A224" s="17"/>
      <c r="B224" s="17"/>
      <c r="C224" s="17"/>
      <c r="D224" s="18"/>
      <c r="E224" s="17"/>
      <c r="F224" s="20"/>
      <c r="G224" s="17"/>
      <c r="H224" s="17"/>
      <c r="N224" s="15"/>
      <c r="T224" s="12">
        <v>223</v>
      </c>
      <c r="U224" s="7">
        <v>0.82150462962962967</v>
      </c>
      <c r="V224" s="4" t="s">
        <v>23</v>
      </c>
      <c r="W224" s="4" t="s">
        <v>7</v>
      </c>
      <c r="X224" s="12">
        <v>72821</v>
      </c>
      <c r="Y224" s="12">
        <v>1</v>
      </c>
      <c r="Z224" s="4" t="s">
        <v>22</v>
      </c>
      <c r="AA224" s="13">
        <f t="shared" si="1"/>
        <v>72821</v>
      </c>
    </row>
    <row r="225" spans="1:27">
      <c r="A225" s="17"/>
      <c r="B225" s="17"/>
      <c r="C225" s="17"/>
      <c r="D225" s="18"/>
      <c r="E225" s="17"/>
      <c r="F225" s="20"/>
      <c r="G225" s="17"/>
      <c r="H225" s="17"/>
      <c r="N225" s="15"/>
      <c r="T225" s="12">
        <v>224</v>
      </c>
      <c r="U225" s="7">
        <v>0.8209953703703704</v>
      </c>
      <c r="V225" s="4" t="s">
        <v>21</v>
      </c>
      <c r="W225" s="4" t="s">
        <v>8</v>
      </c>
      <c r="X225" s="12">
        <v>73592</v>
      </c>
      <c r="Y225" s="12">
        <v>2</v>
      </c>
      <c r="Z225" s="4" t="s">
        <v>22</v>
      </c>
      <c r="AA225" s="13">
        <f t="shared" si="1"/>
        <v>-147184</v>
      </c>
    </row>
    <row r="226" spans="1:27">
      <c r="A226" s="17"/>
      <c r="B226" s="17"/>
      <c r="C226" s="17"/>
      <c r="D226" s="18"/>
      <c r="E226" s="17"/>
      <c r="F226" s="20"/>
      <c r="G226" s="17"/>
      <c r="H226" s="17"/>
      <c r="N226" s="15"/>
      <c r="T226" s="12">
        <v>225</v>
      </c>
      <c r="U226" s="7">
        <v>0.8209953703703704</v>
      </c>
      <c r="V226" s="4" t="s">
        <v>23</v>
      </c>
      <c r="W226" s="4" t="s">
        <v>7</v>
      </c>
      <c r="X226" s="12">
        <v>72817</v>
      </c>
      <c r="Y226" s="12">
        <v>2</v>
      </c>
      <c r="Z226" s="4" t="s">
        <v>22</v>
      </c>
      <c r="AA226" s="13">
        <f t="shared" si="1"/>
        <v>145634</v>
      </c>
    </row>
    <row r="227" spans="1:27">
      <c r="A227" s="17"/>
      <c r="B227" s="17"/>
      <c r="C227" s="17"/>
      <c r="D227" s="18"/>
      <c r="E227" s="17"/>
      <c r="F227" s="20"/>
      <c r="G227" s="17"/>
      <c r="H227" s="17"/>
      <c r="N227" s="15"/>
      <c r="T227" s="12">
        <v>226</v>
      </c>
      <c r="U227" s="7">
        <v>0.82098379629629625</v>
      </c>
      <c r="V227" s="4" t="s">
        <v>21</v>
      </c>
      <c r="W227" s="4" t="s">
        <v>8</v>
      </c>
      <c r="X227" s="12">
        <v>73592</v>
      </c>
      <c r="Y227" s="12">
        <v>1</v>
      </c>
      <c r="Z227" s="4" t="s">
        <v>22</v>
      </c>
      <c r="AA227" s="13">
        <f t="shared" si="1"/>
        <v>-73592</v>
      </c>
    </row>
    <row r="228" spans="1:27">
      <c r="A228" s="17"/>
      <c r="B228" s="17"/>
      <c r="C228" s="17"/>
      <c r="D228" s="18"/>
      <c r="E228" s="17"/>
      <c r="F228" s="20"/>
      <c r="G228" s="17"/>
      <c r="H228" s="17"/>
      <c r="N228" s="15"/>
      <c r="T228" s="12">
        <v>227</v>
      </c>
      <c r="U228" s="7">
        <v>0.82098379629629625</v>
      </c>
      <c r="V228" s="4" t="s">
        <v>23</v>
      </c>
      <c r="W228" s="4" t="s">
        <v>7</v>
      </c>
      <c r="X228" s="12">
        <v>72817</v>
      </c>
      <c r="Y228" s="12">
        <v>1</v>
      </c>
      <c r="Z228" s="4" t="s">
        <v>22</v>
      </c>
      <c r="AA228" s="13">
        <f t="shared" si="1"/>
        <v>72817</v>
      </c>
    </row>
    <row r="229" spans="1:27">
      <c r="A229" s="17"/>
      <c r="B229" s="17"/>
      <c r="C229" s="17"/>
      <c r="D229" s="18"/>
      <c r="E229" s="17"/>
      <c r="F229" s="20"/>
      <c r="G229" s="17"/>
      <c r="H229" s="17"/>
      <c r="N229" s="15"/>
      <c r="T229" s="12">
        <v>228</v>
      </c>
      <c r="U229" s="7">
        <v>0.82074074074074077</v>
      </c>
      <c r="V229" s="4" t="s">
        <v>21</v>
      </c>
      <c r="W229" s="4" t="s">
        <v>8</v>
      </c>
      <c r="X229" s="12">
        <v>73584</v>
      </c>
      <c r="Y229" s="12">
        <v>2</v>
      </c>
      <c r="Z229" s="4" t="s">
        <v>22</v>
      </c>
      <c r="AA229" s="13">
        <f t="shared" si="1"/>
        <v>-147168</v>
      </c>
    </row>
    <row r="230" spans="1:27">
      <c r="A230" s="17"/>
      <c r="B230" s="17"/>
      <c r="C230" s="17"/>
      <c r="D230" s="18"/>
      <c r="E230" s="17"/>
      <c r="F230" s="20"/>
      <c r="G230" s="17"/>
      <c r="H230" s="17"/>
      <c r="N230" s="15"/>
      <c r="T230" s="12">
        <v>229</v>
      </c>
      <c r="U230" s="7">
        <v>0.82074074074074077</v>
      </c>
      <c r="V230" s="4" t="s">
        <v>23</v>
      </c>
      <c r="W230" s="4" t="s">
        <v>7</v>
      </c>
      <c r="X230" s="12">
        <v>72809</v>
      </c>
      <c r="Y230" s="12">
        <v>2</v>
      </c>
      <c r="Z230" s="4" t="s">
        <v>22</v>
      </c>
      <c r="AA230" s="13">
        <f t="shared" si="1"/>
        <v>145618</v>
      </c>
    </row>
    <row r="231" spans="1:27">
      <c r="A231" s="17"/>
      <c r="B231" s="17"/>
      <c r="C231" s="17"/>
      <c r="D231" s="18"/>
      <c r="E231" s="17"/>
      <c r="F231" s="20"/>
      <c r="G231" s="17"/>
      <c r="H231" s="17"/>
      <c r="N231" s="15"/>
      <c r="T231" s="12">
        <v>230</v>
      </c>
      <c r="U231" s="7">
        <v>0.82074074074074077</v>
      </c>
      <c r="V231" s="4" t="s">
        <v>21</v>
      </c>
      <c r="W231" s="4" t="s">
        <v>8</v>
      </c>
      <c r="X231" s="12">
        <v>73590</v>
      </c>
      <c r="Y231" s="12">
        <v>3</v>
      </c>
      <c r="Z231" s="4" t="s">
        <v>22</v>
      </c>
      <c r="AA231" s="13">
        <f t="shared" si="1"/>
        <v>-220770</v>
      </c>
    </row>
    <row r="232" spans="1:27">
      <c r="A232" s="17"/>
      <c r="B232" s="17"/>
      <c r="C232" s="17"/>
      <c r="D232" s="18"/>
      <c r="E232" s="17"/>
      <c r="F232" s="20"/>
      <c r="G232" s="17"/>
      <c r="H232" s="17"/>
      <c r="N232" s="15"/>
      <c r="T232" s="12">
        <v>231</v>
      </c>
      <c r="U232" s="7">
        <v>0.82074074074074077</v>
      </c>
      <c r="V232" s="4" t="s">
        <v>23</v>
      </c>
      <c r="W232" s="4" t="s">
        <v>7</v>
      </c>
      <c r="X232" s="12">
        <v>72813</v>
      </c>
      <c r="Y232" s="12">
        <v>3</v>
      </c>
      <c r="Z232" s="4" t="s">
        <v>22</v>
      </c>
      <c r="AA232" s="13">
        <f t="shared" si="1"/>
        <v>218439</v>
      </c>
    </row>
    <row r="233" spans="1:27">
      <c r="A233" s="17"/>
      <c r="B233" s="17"/>
      <c r="C233" s="17"/>
      <c r="D233" s="18"/>
      <c r="E233" s="17"/>
      <c r="F233" s="20"/>
      <c r="G233" s="17"/>
      <c r="H233" s="17"/>
      <c r="N233" s="15"/>
      <c r="T233" s="12">
        <v>232</v>
      </c>
      <c r="U233" s="7">
        <v>0.82072916666666662</v>
      </c>
      <c r="V233" s="4" t="s">
        <v>21</v>
      </c>
      <c r="W233" s="4" t="s">
        <v>8</v>
      </c>
      <c r="X233" s="12">
        <v>73586</v>
      </c>
      <c r="Y233" s="12">
        <v>1</v>
      </c>
      <c r="Z233" s="4" t="s">
        <v>22</v>
      </c>
      <c r="AA233" s="13">
        <f t="shared" si="1"/>
        <v>-73586</v>
      </c>
    </row>
    <row r="234" spans="1:27">
      <c r="A234" s="17"/>
      <c r="B234" s="17"/>
      <c r="C234" s="17"/>
      <c r="D234" s="18"/>
      <c r="E234" s="17"/>
      <c r="F234" s="20"/>
      <c r="G234" s="17"/>
      <c r="H234" s="17"/>
      <c r="N234" s="15"/>
      <c r="T234" s="12">
        <v>233</v>
      </c>
      <c r="U234" s="7">
        <v>0.82072916666666662</v>
      </c>
      <c r="V234" s="4" t="s">
        <v>21</v>
      </c>
      <c r="W234" s="4" t="s">
        <v>8</v>
      </c>
      <c r="X234" s="12">
        <v>73586</v>
      </c>
      <c r="Y234" s="12">
        <v>1</v>
      </c>
      <c r="Z234" s="4" t="s">
        <v>22</v>
      </c>
      <c r="AA234" s="13">
        <f t="shared" si="1"/>
        <v>-73586</v>
      </c>
    </row>
    <row r="235" spans="1:27">
      <c r="A235" s="17"/>
      <c r="B235" s="17"/>
      <c r="C235" s="17"/>
      <c r="D235" s="18"/>
      <c r="E235" s="17"/>
      <c r="F235" s="20"/>
      <c r="G235" s="17"/>
      <c r="H235" s="17"/>
      <c r="N235" s="15"/>
      <c r="T235" s="12">
        <v>234</v>
      </c>
      <c r="U235" s="7">
        <v>0.82072916666666662</v>
      </c>
      <c r="V235" s="4" t="s">
        <v>21</v>
      </c>
      <c r="W235" s="4" t="s">
        <v>8</v>
      </c>
      <c r="X235" s="12">
        <v>73586</v>
      </c>
      <c r="Y235" s="12">
        <v>1</v>
      </c>
      <c r="Z235" s="4" t="s">
        <v>22</v>
      </c>
      <c r="AA235" s="13">
        <f t="shared" si="1"/>
        <v>-73586</v>
      </c>
    </row>
    <row r="236" spans="1:27">
      <c r="A236" s="17"/>
      <c r="B236" s="17"/>
      <c r="C236" s="17"/>
      <c r="D236" s="18"/>
      <c r="E236" s="17"/>
      <c r="F236" s="20"/>
      <c r="G236" s="17"/>
      <c r="H236" s="17"/>
      <c r="N236" s="15"/>
      <c r="T236" s="12">
        <v>235</v>
      </c>
      <c r="U236" s="7">
        <v>0.82072916666666662</v>
      </c>
      <c r="V236" s="4" t="s">
        <v>23</v>
      </c>
      <c r="W236" s="4" t="s">
        <v>7</v>
      </c>
      <c r="X236" s="12">
        <v>72811</v>
      </c>
      <c r="Y236" s="12">
        <v>3</v>
      </c>
      <c r="Z236" s="4" t="s">
        <v>22</v>
      </c>
      <c r="AA236" s="13">
        <f t="shared" si="1"/>
        <v>218433</v>
      </c>
    </row>
    <row r="237" spans="1:27">
      <c r="A237" s="17"/>
      <c r="B237" s="17"/>
      <c r="C237" s="17"/>
      <c r="D237" s="18"/>
      <c r="E237" s="17"/>
      <c r="F237" s="20"/>
      <c r="G237" s="17"/>
      <c r="H237" s="17"/>
      <c r="N237" s="15"/>
      <c r="T237" s="12">
        <v>236</v>
      </c>
      <c r="U237" s="7">
        <v>0.81927083333333328</v>
      </c>
      <c r="V237" s="4" t="s">
        <v>21</v>
      </c>
      <c r="W237" s="4" t="s">
        <v>8</v>
      </c>
      <c r="X237" s="12">
        <v>73597</v>
      </c>
      <c r="Y237" s="12">
        <v>5</v>
      </c>
      <c r="Z237" s="4" t="s">
        <v>22</v>
      </c>
      <c r="AA237" s="13">
        <f t="shared" si="1"/>
        <v>-367985</v>
      </c>
    </row>
    <row r="238" spans="1:27">
      <c r="A238" s="17"/>
      <c r="B238" s="17"/>
      <c r="C238" s="17"/>
      <c r="D238" s="18"/>
      <c r="E238" s="17"/>
      <c r="F238" s="20"/>
      <c r="G238" s="17"/>
      <c r="H238" s="17"/>
      <c r="N238" s="15"/>
      <c r="T238" s="12">
        <v>237</v>
      </c>
      <c r="U238" s="7">
        <v>0.81927083333333328</v>
      </c>
      <c r="V238" s="4" t="s">
        <v>23</v>
      </c>
      <c r="W238" s="4" t="s">
        <v>7</v>
      </c>
      <c r="X238" s="12">
        <v>72820</v>
      </c>
      <c r="Y238" s="12">
        <v>5</v>
      </c>
      <c r="Z238" s="4" t="s">
        <v>22</v>
      </c>
      <c r="AA238" s="13">
        <f t="shared" si="1"/>
        <v>364100</v>
      </c>
    </row>
    <row r="239" spans="1:27">
      <c r="A239" s="17"/>
      <c r="B239" s="17"/>
      <c r="C239" s="17"/>
      <c r="D239" s="18"/>
      <c r="E239" s="17"/>
      <c r="F239" s="20"/>
      <c r="G239" s="17"/>
      <c r="H239" s="17"/>
      <c r="N239" s="15"/>
      <c r="T239" s="12">
        <v>238</v>
      </c>
      <c r="U239" s="7">
        <v>0.81927083333333328</v>
      </c>
      <c r="V239" s="4" t="s">
        <v>21</v>
      </c>
      <c r="W239" s="4" t="s">
        <v>8</v>
      </c>
      <c r="X239" s="12">
        <v>73597</v>
      </c>
      <c r="Y239" s="12">
        <v>5</v>
      </c>
      <c r="Z239" s="4" t="s">
        <v>22</v>
      </c>
      <c r="AA239" s="13">
        <f t="shared" si="1"/>
        <v>-367985</v>
      </c>
    </row>
    <row r="240" spans="1:27">
      <c r="A240" s="17"/>
      <c r="B240" s="17"/>
      <c r="C240" s="17"/>
      <c r="D240" s="18"/>
      <c r="E240" s="17"/>
      <c r="F240" s="20"/>
      <c r="G240" s="17"/>
      <c r="H240" s="17"/>
      <c r="N240" s="15"/>
      <c r="T240" s="12">
        <v>239</v>
      </c>
      <c r="U240" s="7">
        <v>0.81927083333333328</v>
      </c>
      <c r="V240" s="4" t="s">
        <v>23</v>
      </c>
      <c r="W240" s="4" t="s">
        <v>7</v>
      </c>
      <c r="X240" s="12">
        <v>72820</v>
      </c>
      <c r="Y240" s="12">
        <v>5</v>
      </c>
      <c r="Z240" s="4" t="s">
        <v>22</v>
      </c>
      <c r="AA240" s="13">
        <f t="shared" si="1"/>
        <v>364100</v>
      </c>
    </row>
    <row r="241" spans="1:27">
      <c r="A241" s="17"/>
      <c r="B241" s="17"/>
      <c r="C241" s="17"/>
      <c r="D241" s="18"/>
      <c r="E241" s="17"/>
      <c r="F241" s="20"/>
      <c r="G241" s="17"/>
      <c r="H241" s="17"/>
      <c r="N241" s="15"/>
      <c r="T241" s="12">
        <v>240</v>
      </c>
      <c r="U241" s="7">
        <v>0.8192476851851852</v>
      </c>
      <c r="V241" s="4" t="s">
        <v>21</v>
      </c>
      <c r="W241" s="4" t="s">
        <v>8</v>
      </c>
      <c r="X241" s="12">
        <v>73600</v>
      </c>
      <c r="Y241" s="12">
        <v>2</v>
      </c>
      <c r="Z241" s="4" t="s">
        <v>22</v>
      </c>
      <c r="AA241" s="13">
        <f t="shared" si="1"/>
        <v>-147200</v>
      </c>
    </row>
    <row r="242" spans="1:27">
      <c r="A242" s="17"/>
      <c r="B242" s="17"/>
      <c r="C242" s="17"/>
      <c r="D242" s="18"/>
      <c r="E242" s="17"/>
      <c r="F242" s="20"/>
      <c r="G242" s="17"/>
      <c r="H242" s="17"/>
      <c r="N242" s="15"/>
      <c r="T242" s="12">
        <v>241</v>
      </c>
      <c r="U242" s="7">
        <v>0.8192476851851852</v>
      </c>
      <c r="V242" s="4" t="s">
        <v>23</v>
      </c>
      <c r="W242" s="4" t="s">
        <v>7</v>
      </c>
      <c r="X242" s="12">
        <v>72823</v>
      </c>
      <c r="Y242" s="12">
        <v>2</v>
      </c>
      <c r="Z242" s="4" t="s">
        <v>22</v>
      </c>
      <c r="AA242" s="13">
        <f t="shared" si="1"/>
        <v>145646</v>
      </c>
    </row>
    <row r="243" spans="1:27">
      <c r="A243" s="17"/>
      <c r="B243" s="17"/>
      <c r="C243" s="17"/>
      <c r="D243" s="18"/>
      <c r="E243" s="17"/>
      <c r="F243" s="20"/>
      <c r="G243" s="17"/>
      <c r="H243" s="17"/>
      <c r="N243" s="15"/>
      <c r="T243" s="12">
        <v>242</v>
      </c>
      <c r="U243" s="7">
        <v>0.8192476851851852</v>
      </c>
      <c r="V243" s="4" t="s">
        <v>21</v>
      </c>
      <c r="W243" s="4" t="s">
        <v>8</v>
      </c>
      <c r="X243" s="12">
        <v>73600</v>
      </c>
      <c r="Y243" s="12">
        <v>1</v>
      </c>
      <c r="Z243" s="4" t="s">
        <v>22</v>
      </c>
      <c r="AA243" s="13">
        <f t="shared" si="1"/>
        <v>-73600</v>
      </c>
    </row>
    <row r="244" spans="1:27">
      <c r="A244" s="17"/>
      <c r="B244" s="17"/>
      <c r="C244" s="17"/>
      <c r="D244" s="18"/>
      <c r="E244" s="17"/>
      <c r="F244" s="20"/>
      <c r="G244" s="17"/>
      <c r="H244" s="17"/>
      <c r="N244" s="15"/>
      <c r="T244" s="12">
        <v>243</v>
      </c>
      <c r="U244" s="7">
        <v>0.8192476851851852</v>
      </c>
      <c r="V244" s="4" t="s">
        <v>23</v>
      </c>
      <c r="W244" s="4" t="s">
        <v>7</v>
      </c>
      <c r="X244" s="12">
        <v>72823</v>
      </c>
      <c r="Y244" s="12">
        <v>1</v>
      </c>
      <c r="Z244" s="4" t="s">
        <v>22</v>
      </c>
      <c r="AA244" s="13">
        <f t="shared" si="1"/>
        <v>72823</v>
      </c>
    </row>
    <row r="245" spans="1:27">
      <c r="A245" s="17"/>
      <c r="B245" s="17"/>
      <c r="C245" s="17"/>
      <c r="D245" s="18"/>
      <c r="E245" s="17"/>
      <c r="F245" s="20"/>
      <c r="G245" s="17"/>
      <c r="H245" s="17"/>
      <c r="N245" s="15"/>
      <c r="T245" s="12">
        <v>244</v>
      </c>
      <c r="U245" s="7">
        <v>0.81916666666666671</v>
      </c>
      <c r="V245" s="4" t="s">
        <v>21</v>
      </c>
      <c r="W245" s="4" t="s">
        <v>8</v>
      </c>
      <c r="X245" s="12">
        <v>73600</v>
      </c>
      <c r="Y245" s="12">
        <v>5</v>
      </c>
      <c r="Z245" s="4" t="s">
        <v>22</v>
      </c>
      <c r="AA245" s="13">
        <f t="shared" si="1"/>
        <v>-368000</v>
      </c>
    </row>
    <row r="246" spans="1:27">
      <c r="A246" s="17"/>
      <c r="B246" s="17"/>
      <c r="C246" s="17"/>
      <c r="D246" s="18"/>
      <c r="E246" s="17"/>
      <c r="F246" s="20"/>
      <c r="G246" s="17"/>
      <c r="H246" s="17"/>
      <c r="N246" s="15"/>
      <c r="T246" s="12">
        <v>245</v>
      </c>
      <c r="U246" s="7">
        <v>0.81916666666666671</v>
      </c>
      <c r="V246" s="4" t="s">
        <v>23</v>
      </c>
      <c r="W246" s="4" t="s">
        <v>7</v>
      </c>
      <c r="X246" s="12">
        <v>72823</v>
      </c>
      <c r="Y246" s="12">
        <v>5</v>
      </c>
      <c r="Z246" s="4" t="s">
        <v>22</v>
      </c>
      <c r="AA246" s="13">
        <f t="shared" si="1"/>
        <v>364115</v>
      </c>
    </row>
    <row r="247" spans="1:27">
      <c r="A247" s="17"/>
      <c r="B247" s="17"/>
      <c r="C247" s="17"/>
      <c r="D247" s="18"/>
      <c r="E247" s="17"/>
      <c r="F247" s="20"/>
      <c r="G247" s="17"/>
      <c r="H247" s="17"/>
      <c r="N247" s="15"/>
      <c r="T247" s="12">
        <v>246</v>
      </c>
      <c r="U247" s="7">
        <v>0.80819444444444444</v>
      </c>
      <c r="V247" s="4" t="s">
        <v>21</v>
      </c>
      <c r="W247" s="4" t="s">
        <v>8</v>
      </c>
      <c r="X247" s="12">
        <v>73557</v>
      </c>
      <c r="Y247" s="12">
        <v>1</v>
      </c>
      <c r="Z247" s="4" t="s">
        <v>22</v>
      </c>
      <c r="AA247" s="13">
        <f t="shared" si="1"/>
        <v>-73557</v>
      </c>
    </row>
    <row r="248" spans="1:27">
      <c r="A248" s="17"/>
      <c r="B248" s="17"/>
      <c r="C248" s="17"/>
      <c r="D248" s="18"/>
      <c r="E248" s="17"/>
      <c r="F248" s="20"/>
      <c r="G248" s="17"/>
      <c r="H248" s="17"/>
      <c r="N248" s="15"/>
      <c r="T248" s="12">
        <v>247</v>
      </c>
      <c r="U248" s="7">
        <v>0.80819444444444444</v>
      </c>
      <c r="V248" s="4" t="s">
        <v>23</v>
      </c>
      <c r="W248" s="4" t="s">
        <v>7</v>
      </c>
      <c r="X248" s="12">
        <v>72776</v>
      </c>
      <c r="Y248" s="12">
        <v>1</v>
      </c>
      <c r="Z248" s="4" t="s">
        <v>22</v>
      </c>
      <c r="AA248" s="13">
        <f t="shared" si="1"/>
        <v>72776</v>
      </c>
    </row>
    <row r="249" spans="1:27">
      <c r="A249" s="17"/>
      <c r="B249" s="17"/>
      <c r="C249" s="17"/>
      <c r="D249" s="18"/>
      <c r="E249" s="17"/>
      <c r="F249" s="20"/>
      <c r="G249" s="17"/>
      <c r="H249" s="17"/>
      <c r="N249" s="15"/>
      <c r="T249" s="12">
        <v>248</v>
      </c>
      <c r="U249" s="7">
        <v>0.80819444444444444</v>
      </c>
      <c r="V249" s="4" t="s">
        <v>21</v>
      </c>
      <c r="W249" s="4" t="s">
        <v>8</v>
      </c>
      <c r="X249" s="12">
        <v>73561</v>
      </c>
      <c r="Y249" s="12">
        <v>1</v>
      </c>
      <c r="Z249" s="4" t="s">
        <v>22</v>
      </c>
      <c r="AA249" s="13">
        <f t="shared" si="1"/>
        <v>-73561</v>
      </c>
    </row>
    <row r="250" spans="1:27">
      <c r="A250" s="17"/>
      <c r="B250" s="17"/>
      <c r="C250" s="17"/>
      <c r="D250" s="18"/>
      <c r="E250" s="17"/>
      <c r="F250" s="20"/>
      <c r="G250" s="17"/>
      <c r="H250" s="17"/>
      <c r="N250" s="15"/>
      <c r="T250" s="12">
        <v>249</v>
      </c>
      <c r="U250" s="7">
        <v>0.80819444444444444</v>
      </c>
      <c r="V250" s="4" t="s">
        <v>21</v>
      </c>
      <c r="W250" s="4" t="s">
        <v>8</v>
      </c>
      <c r="X250" s="12">
        <v>73561</v>
      </c>
      <c r="Y250" s="12">
        <v>1</v>
      </c>
      <c r="Z250" s="4" t="s">
        <v>22</v>
      </c>
      <c r="AA250" s="13">
        <f t="shared" si="1"/>
        <v>-73561</v>
      </c>
    </row>
    <row r="251" spans="1:27">
      <c r="A251" s="17"/>
      <c r="B251" s="17"/>
      <c r="C251" s="17"/>
      <c r="D251" s="18"/>
      <c r="E251" s="17"/>
      <c r="F251" s="20"/>
      <c r="G251" s="17"/>
      <c r="H251" s="17"/>
      <c r="N251" s="15"/>
      <c r="T251" s="12">
        <v>250</v>
      </c>
      <c r="U251" s="7">
        <v>0.80819444444444444</v>
      </c>
      <c r="V251" s="4" t="s">
        <v>23</v>
      </c>
      <c r="W251" s="4" t="s">
        <v>7</v>
      </c>
      <c r="X251" s="12">
        <v>72780</v>
      </c>
      <c r="Y251" s="12">
        <v>1</v>
      </c>
      <c r="Z251" s="4" t="s">
        <v>22</v>
      </c>
      <c r="AA251" s="13">
        <f t="shared" si="1"/>
        <v>72780</v>
      </c>
    </row>
    <row r="252" spans="1:27">
      <c r="A252" s="17"/>
      <c r="B252" s="17"/>
      <c r="C252" s="17"/>
      <c r="D252" s="18"/>
      <c r="E252" s="17"/>
      <c r="F252" s="20"/>
      <c r="G252" s="17"/>
      <c r="H252" s="17"/>
      <c r="N252" s="15"/>
      <c r="T252" s="12">
        <v>251</v>
      </c>
      <c r="U252" s="7">
        <v>0.80819444444444444</v>
      </c>
      <c r="V252" s="4" t="s">
        <v>23</v>
      </c>
      <c r="W252" s="4" t="s">
        <v>7</v>
      </c>
      <c r="X252" s="12">
        <v>72780</v>
      </c>
      <c r="Y252" s="12">
        <v>1</v>
      </c>
      <c r="Z252" s="4" t="s">
        <v>22</v>
      </c>
      <c r="AA252" s="13">
        <f t="shared" si="1"/>
        <v>72780</v>
      </c>
    </row>
    <row r="253" spans="1:27">
      <c r="A253" s="17"/>
      <c r="B253" s="17"/>
      <c r="C253" s="17"/>
      <c r="D253" s="18"/>
      <c r="E253" s="17"/>
      <c r="F253" s="20"/>
      <c r="G253" s="17"/>
      <c r="H253" s="17"/>
      <c r="N253" s="15"/>
      <c r="T253" s="12">
        <v>252</v>
      </c>
      <c r="U253" s="7">
        <v>0.80819444444444444</v>
      </c>
      <c r="V253" s="4" t="s">
        <v>21</v>
      </c>
      <c r="W253" s="4" t="s">
        <v>8</v>
      </c>
      <c r="X253" s="12">
        <v>73561</v>
      </c>
      <c r="Y253" s="12">
        <v>1</v>
      </c>
      <c r="Z253" s="4" t="s">
        <v>22</v>
      </c>
      <c r="AA253" s="13">
        <f t="shared" si="1"/>
        <v>-73561</v>
      </c>
    </row>
    <row r="254" spans="1:27">
      <c r="A254" s="17"/>
      <c r="B254" s="17"/>
      <c r="C254" s="17"/>
      <c r="D254" s="18"/>
      <c r="E254" s="17"/>
      <c r="F254" s="20"/>
      <c r="G254" s="17"/>
      <c r="H254" s="17"/>
      <c r="N254" s="15"/>
      <c r="T254" s="12">
        <v>253</v>
      </c>
      <c r="U254" s="7">
        <v>0.80819444444444444</v>
      </c>
      <c r="V254" s="4" t="s">
        <v>23</v>
      </c>
      <c r="W254" s="4" t="s">
        <v>7</v>
      </c>
      <c r="X254" s="12">
        <v>72780</v>
      </c>
      <c r="Y254" s="12">
        <v>1</v>
      </c>
      <c r="Z254" s="4" t="s">
        <v>22</v>
      </c>
      <c r="AA254" s="13">
        <f t="shared" si="1"/>
        <v>72780</v>
      </c>
    </row>
    <row r="255" spans="1:27">
      <c r="A255" s="17"/>
      <c r="B255" s="17"/>
      <c r="C255" s="17"/>
      <c r="D255" s="18"/>
      <c r="E255" s="17"/>
      <c r="F255" s="20"/>
      <c r="G255" s="17"/>
      <c r="H255" s="17"/>
      <c r="N255" s="15"/>
      <c r="T255" s="12">
        <v>254</v>
      </c>
      <c r="U255" s="7">
        <v>0.80819444444444444</v>
      </c>
      <c r="V255" s="4" t="s">
        <v>21</v>
      </c>
      <c r="W255" s="4" t="s">
        <v>8</v>
      </c>
      <c r="X255" s="12">
        <v>73562</v>
      </c>
      <c r="Y255" s="12">
        <v>2</v>
      </c>
      <c r="Z255" s="4" t="s">
        <v>22</v>
      </c>
      <c r="AA255" s="13">
        <f t="shared" si="1"/>
        <v>-147124</v>
      </c>
    </row>
    <row r="256" spans="1:27">
      <c r="A256" s="17"/>
      <c r="B256" s="17"/>
      <c r="C256" s="17"/>
      <c r="D256" s="18"/>
      <c r="E256" s="17"/>
      <c r="F256" s="20"/>
      <c r="G256" s="17"/>
      <c r="H256" s="17"/>
      <c r="N256" s="15"/>
      <c r="T256" s="12">
        <v>255</v>
      </c>
      <c r="U256" s="7">
        <v>0.80819444444444444</v>
      </c>
      <c r="V256" s="4" t="s">
        <v>23</v>
      </c>
      <c r="W256" s="4" t="s">
        <v>7</v>
      </c>
      <c r="X256" s="12">
        <v>72781</v>
      </c>
      <c r="Y256" s="12">
        <v>2</v>
      </c>
      <c r="Z256" s="4" t="s">
        <v>22</v>
      </c>
      <c r="AA256" s="13">
        <f t="shared" si="1"/>
        <v>145562</v>
      </c>
    </row>
    <row r="257" spans="1:27">
      <c r="A257" s="17"/>
      <c r="B257" s="17"/>
      <c r="C257" s="17"/>
      <c r="D257" s="18"/>
      <c r="E257" s="17"/>
      <c r="F257" s="20"/>
      <c r="G257" s="17"/>
      <c r="H257" s="17"/>
      <c r="N257" s="15"/>
      <c r="T257" s="12">
        <v>256</v>
      </c>
      <c r="U257" s="7">
        <v>0.80819444444444444</v>
      </c>
      <c r="V257" s="4" t="s">
        <v>21</v>
      </c>
      <c r="W257" s="4" t="s">
        <v>8</v>
      </c>
      <c r="X257" s="12">
        <v>73562</v>
      </c>
      <c r="Y257" s="12">
        <v>2</v>
      </c>
      <c r="Z257" s="4" t="s">
        <v>22</v>
      </c>
      <c r="AA257" s="13">
        <f t="shared" si="1"/>
        <v>-147124</v>
      </c>
    </row>
    <row r="258" spans="1:27">
      <c r="A258" s="17"/>
      <c r="B258" s="17"/>
      <c r="C258" s="17"/>
      <c r="D258" s="18"/>
      <c r="E258" s="17"/>
      <c r="F258" s="20"/>
      <c r="G258" s="17"/>
      <c r="H258" s="17"/>
      <c r="N258" s="15"/>
      <c r="T258" s="12">
        <v>257</v>
      </c>
      <c r="U258" s="7">
        <v>0.80819444444444444</v>
      </c>
      <c r="V258" s="4" t="s">
        <v>23</v>
      </c>
      <c r="W258" s="4" t="s">
        <v>7</v>
      </c>
      <c r="X258" s="12">
        <v>72779</v>
      </c>
      <c r="Y258" s="12">
        <v>2</v>
      </c>
      <c r="Z258" s="4" t="s">
        <v>22</v>
      </c>
      <c r="AA258" s="13">
        <f t="shared" si="1"/>
        <v>145558</v>
      </c>
    </row>
    <row r="259" spans="1:27">
      <c r="A259" s="17"/>
      <c r="B259" s="17"/>
      <c r="C259" s="17"/>
      <c r="D259" s="18"/>
      <c r="E259" s="17"/>
      <c r="F259" s="20"/>
      <c r="G259" s="17"/>
      <c r="H259" s="17"/>
      <c r="N259" s="15"/>
      <c r="T259" s="12">
        <v>258</v>
      </c>
      <c r="U259" s="7">
        <v>0.80811342592592594</v>
      </c>
      <c r="V259" s="4" t="s">
        <v>21</v>
      </c>
      <c r="W259" s="4" t="s">
        <v>8</v>
      </c>
      <c r="X259" s="12">
        <v>73558</v>
      </c>
      <c r="Y259" s="12">
        <v>2</v>
      </c>
      <c r="Z259" s="4" t="s">
        <v>22</v>
      </c>
      <c r="AA259" s="13">
        <f t="shared" si="1"/>
        <v>-147116</v>
      </c>
    </row>
    <row r="260" spans="1:27">
      <c r="A260" s="17"/>
      <c r="B260" s="17"/>
      <c r="C260" s="17"/>
      <c r="D260" s="18"/>
      <c r="E260" s="17"/>
      <c r="F260" s="20"/>
      <c r="G260" s="17"/>
      <c r="H260" s="17"/>
      <c r="N260" s="15"/>
      <c r="T260" s="12">
        <v>259</v>
      </c>
      <c r="U260" s="7">
        <v>0.80811342592592594</v>
      </c>
      <c r="V260" s="4" t="s">
        <v>23</v>
      </c>
      <c r="W260" s="4" t="s">
        <v>7</v>
      </c>
      <c r="X260" s="12">
        <v>72777</v>
      </c>
      <c r="Y260" s="12">
        <v>2</v>
      </c>
      <c r="Z260" s="4" t="s">
        <v>22</v>
      </c>
      <c r="AA260" s="13">
        <f t="shared" si="1"/>
        <v>145554</v>
      </c>
    </row>
    <row r="261" spans="1:27">
      <c r="A261" s="17"/>
      <c r="B261" s="17"/>
      <c r="C261" s="17"/>
      <c r="D261" s="18"/>
      <c r="E261" s="17"/>
      <c r="F261" s="20"/>
      <c r="G261" s="17"/>
      <c r="H261" s="17"/>
      <c r="N261" s="15"/>
      <c r="T261" s="12">
        <v>260</v>
      </c>
      <c r="U261" s="7">
        <v>0.80458333333333332</v>
      </c>
      <c r="V261" s="4" t="s">
        <v>21</v>
      </c>
      <c r="W261" s="4" t="s">
        <v>8</v>
      </c>
      <c r="X261" s="12">
        <v>73548</v>
      </c>
      <c r="Y261" s="12">
        <v>2</v>
      </c>
      <c r="Z261" s="4" t="s">
        <v>22</v>
      </c>
      <c r="AA261" s="13">
        <f t="shared" si="1"/>
        <v>-147096</v>
      </c>
    </row>
    <row r="262" spans="1:27">
      <c r="A262" s="17"/>
      <c r="B262" s="17"/>
      <c r="C262" s="17"/>
      <c r="D262" s="18"/>
      <c r="E262" s="17"/>
      <c r="F262" s="20"/>
      <c r="G262" s="17"/>
      <c r="H262" s="17"/>
      <c r="N262" s="15"/>
      <c r="T262" s="12">
        <v>261</v>
      </c>
      <c r="U262" s="7">
        <v>0.80458333333333332</v>
      </c>
      <c r="V262" s="4" t="s">
        <v>23</v>
      </c>
      <c r="W262" s="4" t="s">
        <v>7</v>
      </c>
      <c r="X262" s="12">
        <v>72767</v>
      </c>
      <c r="Y262" s="12">
        <v>2</v>
      </c>
      <c r="Z262" s="4" t="s">
        <v>22</v>
      </c>
      <c r="AA262" s="13">
        <f t="shared" si="1"/>
        <v>145534</v>
      </c>
    </row>
    <row r="263" spans="1:27">
      <c r="A263" s="17"/>
      <c r="B263" s="17"/>
      <c r="C263" s="17"/>
      <c r="D263" s="18"/>
      <c r="E263" s="17"/>
      <c r="F263" s="20"/>
      <c r="G263" s="17"/>
      <c r="H263" s="17"/>
      <c r="N263" s="15"/>
      <c r="T263" s="12">
        <v>262</v>
      </c>
      <c r="U263" s="7">
        <v>0.80458333333333332</v>
      </c>
      <c r="V263" s="4" t="s">
        <v>21</v>
      </c>
      <c r="W263" s="4" t="s">
        <v>8</v>
      </c>
      <c r="X263" s="12">
        <v>73548</v>
      </c>
      <c r="Y263" s="12">
        <v>2</v>
      </c>
      <c r="Z263" s="4" t="s">
        <v>22</v>
      </c>
      <c r="AA263" s="13">
        <f t="shared" si="1"/>
        <v>-147096</v>
      </c>
    </row>
    <row r="264" spans="1:27">
      <c r="A264" s="17"/>
      <c r="B264" s="17"/>
      <c r="C264" s="17"/>
      <c r="D264" s="18"/>
      <c r="E264" s="17"/>
      <c r="F264" s="20"/>
      <c r="G264" s="17"/>
      <c r="H264" s="17"/>
      <c r="N264" s="15"/>
      <c r="T264" s="12">
        <v>263</v>
      </c>
      <c r="U264" s="7">
        <v>0.80458333333333332</v>
      </c>
      <c r="V264" s="4" t="s">
        <v>23</v>
      </c>
      <c r="W264" s="4" t="s">
        <v>7</v>
      </c>
      <c r="X264" s="12">
        <v>72767</v>
      </c>
      <c r="Y264" s="12">
        <v>2</v>
      </c>
      <c r="Z264" s="4" t="s">
        <v>22</v>
      </c>
      <c r="AA264" s="13">
        <f t="shared" si="1"/>
        <v>145534</v>
      </c>
    </row>
    <row r="265" spans="1:27">
      <c r="A265" s="17"/>
      <c r="B265" s="17"/>
      <c r="C265" s="17"/>
      <c r="D265" s="18"/>
      <c r="E265" s="17"/>
      <c r="F265" s="20"/>
      <c r="G265" s="17"/>
      <c r="H265" s="17"/>
      <c r="N265" s="15"/>
      <c r="T265" s="12">
        <v>264</v>
      </c>
      <c r="U265" s="7">
        <v>0.80458333333333332</v>
      </c>
      <c r="V265" s="4" t="s">
        <v>21</v>
      </c>
      <c r="W265" s="4" t="s">
        <v>8</v>
      </c>
      <c r="X265" s="12">
        <v>73548</v>
      </c>
      <c r="Y265" s="12">
        <v>2</v>
      </c>
      <c r="Z265" s="4" t="s">
        <v>22</v>
      </c>
      <c r="AA265" s="13">
        <f t="shared" si="1"/>
        <v>-147096</v>
      </c>
    </row>
    <row r="266" spans="1:27">
      <c r="A266" s="17"/>
      <c r="B266" s="17"/>
      <c r="C266" s="17"/>
      <c r="D266" s="18"/>
      <c r="E266" s="17"/>
      <c r="F266" s="20"/>
      <c r="G266" s="17"/>
      <c r="H266" s="17"/>
      <c r="N266" s="15"/>
      <c r="T266" s="12">
        <v>265</v>
      </c>
      <c r="U266" s="7">
        <v>0.80458333333333332</v>
      </c>
      <c r="V266" s="4" t="s">
        <v>23</v>
      </c>
      <c r="W266" s="4" t="s">
        <v>7</v>
      </c>
      <c r="X266" s="12">
        <v>72767</v>
      </c>
      <c r="Y266" s="12">
        <v>2</v>
      </c>
      <c r="Z266" s="4" t="s">
        <v>22</v>
      </c>
      <c r="AA266" s="13">
        <f t="shared" si="1"/>
        <v>145534</v>
      </c>
    </row>
    <row r="267" spans="1:27">
      <c r="A267" s="17"/>
      <c r="B267" s="17"/>
      <c r="C267" s="17"/>
      <c r="D267" s="18"/>
      <c r="E267" s="17"/>
      <c r="F267" s="20"/>
      <c r="G267" s="17"/>
      <c r="H267" s="17"/>
      <c r="N267" s="15"/>
      <c r="T267" s="12">
        <v>266</v>
      </c>
      <c r="U267" s="7">
        <v>0.80458333333333332</v>
      </c>
      <c r="V267" s="4" t="s">
        <v>21</v>
      </c>
      <c r="W267" s="4" t="s">
        <v>8</v>
      </c>
      <c r="X267" s="12">
        <v>73548</v>
      </c>
      <c r="Y267" s="12">
        <v>2</v>
      </c>
      <c r="Z267" s="4" t="s">
        <v>22</v>
      </c>
      <c r="AA267" s="13">
        <f t="shared" si="1"/>
        <v>-147096</v>
      </c>
    </row>
    <row r="268" spans="1:27">
      <c r="A268" s="17"/>
      <c r="B268" s="17"/>
      <c r="C268" s="17"/>
      <c r="D268" s="18"/>
      <c r="E268" s="17"/>
      <c r="F268" s="20"/>
      <c r="G268" s="17"/>
      <c r="H268" s="17"/>
      <c r="N268" s="15"/>
      <c r="T268" s="12">
        <v>267</v>
      </c>
      <c r="U268" s="7">
        <v>0.80458333333333332</v>
      </c>
      <c r="V268" s="4" t="s">
        <v>23</v>
      </c>
      <c r="W268" s="4" t="s">
        <v>7</v>
      </c>
      <c r="X268" s="12">
        <v>72767</v>
      </c>
      <c r="Y268" s="12">
        <v>2</v>
      </c>
      <c r="Z268" s="4" t="s">
        <v>22</v>
      </c>
      <c r="AA268" s="13">
        <f t="shared" si="1"/>
        <v>145534</v>
      </c>
    </row>
    <row r="269" spans="1:27">
      <c r="A269" s="17"/>
      <c r="B269" s="17"/>
      <c r="C269" s="17"/>
      <c r="D269" s="18"/>
      <c r="E269" s="17"/>
      <c r="F269" s="20"/>
      <c r="G269" s="17"/>
      <c r="H269" s="17"/>
      <c r="N269" s="15"/>
      <c r="T269" s="12">
        <v>268</v>
      </c>
      <c r="U269" s="7">
        <v>0.80440972222222218</v>
      </c>
      <c r="V269" s="4" t="s">
        <v>21</v>
      </c>
      <c r="W269" s="4" t="s">
        <v>8</v>
      </c>
      <c r="X269" s="12">
        <v>73545</v>
      </c>
      <c r="Y269" s="12">
        <v>1</v>
      </c>
      <c r="Z269" s="4" t="s">
        <v>22</v>
      </c>
      <c r="AA269" s="13">
        <f t="shared" si="1"/>
        <v>-73545</v>
      </c>
    </row>
    <row r="270" spans="1:27">
      <c r="A270" s="17"/>
      <c r="B270" s="17"/>
      <c r="C270" s="17"/>
      <c r="D270" s="18"/>
      <c r="E270" s="17"/>
      <c r="F270" s="20"/>
      <c r="G270" s="17"/>
      <c r="H270" s="17"/>
      <c r="N270" s="15"/>
      <c r="T270" s="12">
        <v>269</v>
      </c>
      <c r="U270" s="7">
        <v>0.80440972222222218</v>
      </c>
      <c r="V270" s="4" t="s">
        <v>21</v>
      </c>
      <c r="W270" s="4" t="s">
        <v>8</v>
      </c>
      <c r="X270" s="12">
        <v>73546</v>
      </c>
      <c r="Y270" s="12">
        <v>1</v>
      </c>
      <c r="Z270" s="4" t="s">
        <v>22</v>
      </c>
      <c r="AA270" s="13">
        <f t="shared" si="1"/>
        <v>-73546</v>
      </c>
    </row>
    <row r="271" spans="1:27">
      <c r="A271" s="17"/>
      <c r="B271" s="17"/>
      <c r="C271" s="17"/>
      <c r="D271" s="18"/>
      <c r="E271" s="17"/>
      <c r="F271" s="20"/>
      <c r="G271" s="17"/>
      <c r="H271" s="17"/>
      <c r="N271" s="15"/>
      <c r="T271" s="12">
        <v>270</v>
      </c>
      <c r="U271" s="7">
        <v>0.80440972222222218</v>
      </c>
      <c r="V271" s="4" t="s">
        <v>23</v>
      </c>
      <c r="W271" s="4" t="s">
        <v>7</v>
      </c>
      <c r="X271" s="12">
        <v>72760</v>
      </c>
      <c r="Y271" s="12">
        <v>1</v>
      </c>
      <c r="Z271" s="4" t="s">
        <v>22</v>
      </c>
      <c r="AA271" s="13">
        <f t="shared" si="1"/>
        <v>72760</v>
      </c>
    </row>
    <row r="272" spans="1:27">
      <c r="A272" s="17"/>
      <c r="B272" s="17"/>
      <c r="C272" s="17"/>
      <c r="D272" s="18"/>
      <c r="E272" s="17"/>
      <c r="F272" s="20"/>
      <c r="G272" s="17"/>
      <c r="H272" s="17"/>
      <c r="N272" s="15"/>
      <c r="T272" s="12">
        <v>271</v>
      </c>
      <c r="U272" s="7">
        <v>0.80440972222222218</v>
      </c>
      <c r="V272" s="4" t="s">
        <v>23</v>
      </c>
      <c r="W272" s="4" t="s">
        <v>7</v>
      </c>
      <c r="X272" s="12">
        <v>72760</v>
      </c>
      <c r="Y272" s="12">
        <v>1</v>
      </c>
      <c r="Z272" s="4" t="s">
        <v>22</v>
      </c>
      <c r="AA272" s="13">
        <f t="shared" si="1"/>
        <v>72760</v>
      </c>
    </row>
    <row r="273" spans="4:27">
      <c r="D273" s="15"/>
      <c r="F273" s="11"/>
      <c r="N273" s="15"/>
      <c r="X273" s="15"/>
      <c r="AA273" s="3">
        <f>SUM(AA2:AA272)</f>
        <v>-242643</v>
      </c>
    </row>
    <row r="274" spans="4:27">
      <c r="D274" s="15"/>
      <c r="F274" s="11"/>
      <c r="N274" s="15"/>
      <c r="Q274" s="11"/>
    </row>
    <row r="275" spans="4:27">
      <c r="D275" s="15"/>
      <c r="F275" s="11"/>
      <c r="N275" s="15"/>
      <c r="Q275" s="11"/>
    </row>
    <row r="276" spans="4:27">
      <c r="D276" s="15"/>
      <c r="F276" s="11"/>
      <c r="N276" s="15"/>
      <c r="Q276" s="11"/>
    </row>
    <row r="277" spans="4:27">
      <c r="D277" s="15"/>
      <c r="F277" s="11"/>
      <c r="N277" s="15"/>
      <c r="Q277" s="11"/>
    </row>
    <row r="278" spans="4:27">
      <c r="D278" s="15"/>
      <c r="F278" s="11"/>
      <c r="N278" s="15"/>
      <c r="Q278" s="11"/>
    </row>
    <row r="279" spans="4:27">
      <c r="D279" s="15"/>
      <c r="F279" s="11"/>
      <c r="N279" s="15"/>
      <c r="Q279" s="11"/>
    </row>
    <row r="280" spans="4:27">
      <c r="D280" s="15"/>
      <c r="F280" s="11"/>
      <c r="N280" s="15"/>
      <c r="Q280" s="11"/>
    </row>
    <row r="281" spans="4:27">
      <c r="D281" s="15"/>
      <c r="F281" s="11"/>
      <c r="N281" s="15"/>
      <c r="Q281" s="11"/>
    </row>
    <row r="282" spans="4:27">
      <c r="D282" s="15"/>
      <c r="F282" s="11"/>
      <c r="N282" s="15"/>
      <c r="Q282" s="11"/>
    </row>
    <row r="283" spans="4:27">
      <c r="D283" s="15"/>
      <c r="F283" s="11"/>
      <c r="N283" s="15"/>
      <c r="Q283" s="11"/>
    </row>
    <row r="284" spans="4:27">
      <c r="D284" s="15"/>
      <c r="F284" s="11"/>
      <c r="N284" s="15"/>
      <c r="Q284" s="11"/>
    </row>
    <row r="285" spans="4:27">
      <c r="D285" s="15"/>
      <c r="F285" s="11"/>
      <c r="N285" s="15"/>
      <c r="Q285" s="11"/>
    </row>
    <row r="286" spans="4:27">
      <c r="D286" s="15"/>
      <c r="F286" s="11"/>
      <c r="N286" s="15"/>
      <c r="Q286" s="11"/>
    </row>
    <row r="287" spans="4:27">
      <c r="D287" s="15"/>
      <c r="F287" s="11"/>
      <c r="N287" s="15"/>
      <c r="Q287" s="11"/>
    </row>
    <row r="288" spans="4:27">
      <c r="D288" s="15"/>
      <c r="F288" s="11"/>
      <c r="N288" s="15"/>
      <c r="Q288" s="11"/>
    </row>
    <row r="289" spans="4:17">
      <c r="D289" s="15"/>
      <c r="F289" s="11"/>
      <c r="N289" s="15"/>
      <c r="Q289" s="11"/>
    </row>
    <row r="290" spans="4:17">
      <c r="D290" s="15"/>
      <c r="F290" s="11"/>
      <c r="N290" s="15"/>
      <c r="Q290" s="11"/>
    </row>
    <row r="291" spans="4:17">
      <c r="D291" s="15"/>
      <c r="F291" s="11"/>
      <c r="N291" s="15"/>
      <c r="Q291" s="11"/>
    </row>
    <row r="292" spans="4:17">
      <c r="D292" s="15"/>
      <c r="F292" s="11"/>
      <c r="N292" s="15"/>
      <c r="Q292" s="11"/>
    </row>
    <row r="293" spans="4:17">
      <c r="D293" s="15"/>
      <c r="F293" s="11"/>
      <c r="N293" s="15"/>
      <c r="Q293" s="11"/>
    </row>
    <row r="294" spans="4:17">
      <c r="D294" s="15"/>
      <c r="F294" s="11"/>
      <c r="N294" s="15"/>
      <c r="Q294" s="11"/>
    </row>
    <row r="295" spans="4:17">
      <c r="D295" s="15"/>
      <c r="F295" s="11"/>
      <c r="N295" s="15"/>
      <c r="Q295" s="11"/>
    </row>
    <row r="296" spans="4:17">
      <c r="D296" s="15"/>
      <c r="F296" s="11"/>
      <c r="N296" s="15"/>
      <c r="Q296" s="11"/>
    </row>
    <row r="297" spans="4:17">
      <c r="D297" s="15"/>
      <c r="F297" s="11"/>
      <c r="N297" s="15"/>
      <c r="Q297" s="11"/>
    </row>
    <row r="298" spans="4:17">
      <c r="D298" s="15"/>
      <c r="F298" s="11"/>
      <c r="N298" s="15"/>
      <c r="Q298" s="11"/>
    </row>
    <row r="299" spans="4:17">
      <c r="D299" s="15"/>
      <c r="F299" s="11"/>
      <c r="N299" s="15"/>
      <c r="Q299" s="11"/>
    </row>
    <row r="300" spans="4:17">
      <c r="D300" s="15"/>
      <c r="F300" s="11"/>
      <c r="N300" s="15"/>
      <c r="Q300" s="11"/>
    </row>
    <row r="301" spans="4:17">
      <c r="D301" s="15"/>
      <c r="F301" s="11"/>
      <c r="N301" s="15"/>
      <c r="Q301" s="11"/>
    </row>
    <row r="302" spans="4:17">
      <c r="D302" s="15"/>
      <c r="F302" s="11"/>
      <c r="N302" s="15"/>
      <c r="Q302" s="11"/>
    </row>
    <row r="303" spans="4:17">
      <c r="D303" s="15"/>
      <c r="F303" s="11"/>
      <c r="N303" s="15"/>
      <c r="Q303" s="11"/>
    </row>
    <row r="304" spans="4:17">
      <c r="D304" s="15"/>
      <c r="F304" s="11"/>
      <c r="N304" s="15"/>
      <c r="Q304" s="11"/>
    </row>
    <row r="305" spans="4:17">
      <c r="D305" s="15"/>
      <c r="F305" s="11"/>
      <c r="N305" s="15"/>
      <c r="Q305" s="11"/>
    </row>
    <row r="306" spans="4:17">
      <c r="D306" s="15"/>
      <c r="F306" s="11"/>
      <c r="N306" s="15"/>
      <c r="Q306" s="11"/>
    </row>
    <row r="307" spans="4:17">
      <c r="D307" s="15"/>
      <c r="F307" s="11"/>
      <c r="N307" s="15"/>
      <c r="Q307" s="11"/>
    </row>
    <row r="308" spans="4:17">
      <c r="D308" s="15"/>
      <c r="F308" s="11"/>
      <c r="N308" s="15"/>
      <c r="Q308" s="11"/>
    </row>
    <row r="309" spans="4:17">
      <c r="D309" s="15"/>
      <c r="F309" s="11"/>
      <c r="N309" s="15"/>
      <c r="Q309" s="11"/>
    </row>
    <row r="310" spans="4:17">
      <c r="D310" s="15"/>
      <c r="F310" s="11"/>
      <c r="N310" s="15"/>
      <c r="Q310" s="11"/>
    </row>
    <row r="311" spans="4:17">
      <c r="D311" s="15"/>
      <c r="F311" s="11"/>
      <c r="N311" s="15"/>
      <c r="Q311" s="11"/>
    </row>
    <row r="312" spans="4:17">
      <c r="D312" s="15"/>
      <c r="F312" s="11"/>
      <c r="N312" s="15"/>
      <c r="Q312" s="11"/>
    </row>
    <row r="313" spans="4:17">
      <c r="D313" s="15"/>
      <c r="F313" s="11"/>
      <c r="N313" s="15"/>
      <c r="Q313" s="11"/>
    </row>
    <row r="314" spans="4:17">
      <c r="D314" s="15"/>
      <c r="F314" s="11"/>
      <c r="N314" s="15"/>
      <c r="Q314" s="11"/>
    </row>
    <row r="315" spans="4:17">
      <c r="D315" s="15"/>
      <c r="F315" s="11"/>
      <c r="N315" s="15"/>
      <c r="Q315" s="11"/>
    </row>
    <row r="316" spans="4:17">
      <c r="D316" s="15"/>
      <c r="F316" s="11"/>
      <c r="N316" s="15"/>
      <c r="Q316" s="11"/>
    </row>
    <row r="317" spans="4:17">
      <c r="D317" s="15"/>
      <c r="F317" s="11"/>
      <c r="N317" s="15"/>
      <c r="Q317" s="11"/>
    </row>
    <row r="318" spans="4:17">
      <c r="D318" s="15"/>
      <c r="F318" s="11"/>
      <c r="N318" s="15"/>
      <c r="Q318" s="11"/>
    </row>
    <row r="319" spans="4:17">
      <c r="D319" s="15"/>
      <c r="F319" s="11"/>
      <c r="N319" s="15"/>
      <c r="Q319" s="11"/>
    </row>
    <row r="320" spans="4:17">
      <c r="D320" s="15"/>
      <c r="F320" s="11"/>
      <c r="N320" s="15"/>
      <c r="Q320" s="11"/>
    </row>
    <row r="321" spans="4:17">
      <c r="D321" s="15"/>
      <c r="F321" s="11"/>
      <c r="N321" s="15"/>
      <c r="Q321" s="11"/>
    </row>
    <row r="322" spans="4:17">
      <c r="D322" s="15"/>
      <c r="F322" s="11"/>
      <c r="N322" s="15"/>
      <c r="Q322" s="11"/>
    </row>
    <row r="323" spans="4:17">
      <c r="D323" s="15"/>
      <c r="F323" s="11"/>
      <c r="N323" s="15"/>
      <c r="Q323" s="11"/>
    </row>
    <row r="324" spans="4:17">
      <c r="D324" s="15"/>
      <c r="F324" s="11"/>
      <c r="N324" s="15"/>
      <c r="Q324" s="11"/>
    </row>
    <row r="325" spans="4:17">
      <c r="D325" s="15"/>
      <c r="F325" s="11"/>
      <c r="N325" s="15"/>
      <c r="Q325" s="11"/>
    </row>
    <row r="326" spans="4:17">
      <c r="D326" s="15"/>
      <c r="F326" s="11"/>
      <c r="N326" s="15"/>
      <c r="Q326" s="11"/>
    </row>
    <row r="327" spans="4:17">
      <c r="D327" s="15"/>
      <c r="F327" s="11"/>
      <c r="N327" s="15"/>
      <c r="Q327" s="11"/>
    </row>
    <row r="328" spans="4:17">
      <c r="D328" s="15"/>
      <c r="F328" s="11"/>
      <c r="N328" s="15"/>
      <c r="Q328" s="11"/>
    </row>
    <row r="329" spans="4:17">
      <c r="D329" s="15"/>
      <c r="F329" s="11"/>
      <c r="N329" s="15"/>
      <c r="Q329" s="11"/>
    </row>
    <row r="330" spans="4:17">
      <c r="D330" s="15"/>
      <c r="F330" s="11"/>
      <c r="N330" s="15"/>
      <c r="Q330" s="11"/>
    </row>
    <row r="331" spans="4:17">
      <c r="D331" s="15"/>
      <c r="F331" s="11"/>
      <c r="N331" s="15"/>
      <c r="Q331" s="11"/>
    </row>
    <row r="332" spans="4:17">
      <c r="D332" s="15"/>
      <c r="F332" s="11"/>
      <c r="N332" s="15"/>
      <c r="Q332" s="11"/>
    </row>
    <row r="333" spans="4:17">
      <c r="D333" s="15"/>
      <c r="F333" s="11"/>
      <c r="N333" s="15"/>
      <c r="Q333" s="11"/>
    </row>
    <row r="334" spans="4:17">
      <c r="D334" s="15"/>
      <c r="F334" s="11"/>
      <c r="N334" s="15"/>
      <c r="Q334" s="11"/>
    </row>
    <row r="335" spans="4:17">
      <c r="D335" s="15"/>
      <c r="F335" s="11"/>
      <c r="N335" s="15"/>
      <c r="Q335" s="11"/>
    </row>
    <row r="336" spans="4:17">
      <c r="D336" s="15"/>
      <c r="F336" s="11"/>
      <c r="N336" s="15"/>
      <c r="Q336" s="11"/>
    </row>
    <row r="337" spans="4:17">
      <c r="D337" s="15"/>
      <c r="F337" s="11"/>
      <c r="N337" s="15"/>
      <c r="Q337" s="11"/>
    </row>
    <row r="338" spans="4:17">
      <c r="D338" s="15"/>
      <c r="F338" s="11"/>
      <c r="N338" s="15"/>
      <c r="Q338" s="11"/>
    </row>
    <row r="339" spans="4:17">
      <c r="D339" s="15"/>
      <c r="F339" s="11"/>
      <c r="N339" s="15"/>
      <c r="Q339" s="11"/>
    </row>
    <row r="340" spans="4:17">
      <c r="D340" s="15"/>
      <c r="F340" s="11"/>
      <c r="N340" s="15"/>
      <c r="Q340" s="11"/>
    </row>
    <row r="341" spans="4:17">
      <c r="D341" s="15"/>
      <c r="F341" s="11"/>
      <c r="N341" s="15"/>
      <c r="Q341" s="11"/>
    </row>
    <row r="342" spans="4:17">
      <c r="D342" s="15"/>
      <c r="F342" s="11"/>
      <c r="N342" s="15"/>
      <c r="Q342" s="11"/>
    </row>
    <row r="343" spans="4:17">
      <c r="D343" s="15"/>
      <c r="F343" s="11"/>
      <c r="N343" s="15"/>
      <c r="Q343" s="11"/>
    </row>
    <row r="344" spans="4:17">
      <c r="D344" s="15"/>
      <c r="F344" s="11"/>
      <c r="N344" s="15"/>
      <c r="Q344" s="11"/>
    </row>
    <row r="345" spans="4:17">
      <c r="D345" s="15"/>
      <c r="F345" s="11"/>
      <c r="N345" s="15"/>
      <c r="Q345" s="11"/>
    </row>
    <row r="346" spans="4:17">
      <c r="D346" s="15"/>
      <c r="F346" s="11"/>
      <c r="N346" s="15"/>
      <c r="Q346" s="11"/>
    </row>
    <row r="347" spans="4:17">
      <c r="D347" s="15"/>
      <c r="F347" s="11"/>
      <c r="N347" s="15"/>
      <c r="Q347" s="11"/>
    </row>
    <row r="348" spans="4:17">
      <c r="D348" s="15"/>
      <c r="F348" s="11"/>
      <c r="N348" s="15"/>
      <c r="Q348" s="11"/>
    </row>
    <row r="349" spans="4:17">
      <c r="D349" s="15"/>
      <c r="F349" s="11"/>
      <c r="N349" s="15"/>
      <c r="Q349" s="11"/>
    </row>
    <row r="350" spans="4:17">
      <c r="D350" s="15"/>
      <c r="F350" s="11"/>
      <c r="N350" s="15"/>
      <c r="Q350" s="11"/>
    </row>
    <row r="351" spans="4:17">
      <c r="D351" s="15"/>
      <c r="F351" s="11"/>
      <c r="N351" s="15"/>
      <c r="Q351" s="11"/>
    </row>
    <row r="352" spans="4:17">
      <c r="D352" s="15"/>
      <c r="F352" s="11"/>
      <c r="N352" s="15"/>
      <c r="Q352" s="11"/>
    </row>
    <row r="353" spans="4:17">
      <c r="D353" s="15"/>
      <c r="F353" s="11"/>
      <c r="N353" s="15"/>
      <c r="Q353" s="11"/>
    </row>
    <row r="354" spans="4:17">
      <c r="D354" s="15"/>
      <c r="F354" s="11"/>
      <c r="N354" s="15"/>
      <c r="Q354" s="11"/>
    </row>
    <row r="355" spans="4:17">
      <c r="D355" s="15"/>
      <c r="F355" s="11"/>
      <c r="N355" s="15"/>
      <c r="Q355" s="11"/>
    </row>
    <row r="356" spans="4:17">
      <c r="D356" s="15"/>
      <c r="F356" s="11"/>
      <c r="N356" s="15"/>
      <c r="Q356" s="11"/>
    </row>
    <row r="357" spans="4:17">
      <c r="D357" s="15"/>
      <c r="F357" s="11"/>
      <c r="N357" s="15"/>
      <c r="Q357" s="11"/>
    </row>
    <row r="358" spans="4:17">
      <c r="D358" s="15"/>
      <c r="F358" s="11"/>
      <c r="N358" s="15"/>
      <c r="Q358" s="11"/>
    </row>
    <row r="359" spans="4:17">
      <c r="D359" s="15"/>
      <c r="F359" s="11"/>
      <c r="N359" s="15"/>
      <c r="Q359" s="11"/>
    </row>
    <row r="360" spans="4:17">
      <c r="D360" s="15"/>
      <c r="F360" s="11"/>
      <c r="N360" s="15"/>
      <c r="Q360" s="11"/>
    </row>
    <row r="361" spans="4:17">
      <c r="D361" s="15"/>
      <c r="F361" s="11"/>
      <c r="N361" s="15"/>
      <c r="Q361" s="11"/>
    </row>
    <row r="362" spans="4:17">
      <c r="D362" s="15"/>
      <c r="F362" s="11"/>
      <c r="N362" s="15"/>
      <c r="Q362" s="11"/>
    </row>
    <row r="363" spans="4:17">
      <c r="D363" s="15"/>
      <c r="F363" s="11"/>
      <c r="N363" s="15"/>
      <c r="Q363" s="11"/>
    </row>
    <row r="364" spans="4:17">
      <c r="D364" s="15"/>
      <c r="F364" s="11"/>
      <c r="N364" s="15"/>
      <c r="Q364" s="11"/>
    </row>
    <row r="365" spans="4:17">
      <c r="D365" s="15"/>
      <c r="F365" s="11"/>
      <c r="N365" s="15"/>
      <c r="Q365" s="11"/>
    </row>
    <row r="366" spans="4:17">
      <c r="D366" s="15"/>
      <c r="F366" s="11"/>
      <c r="N366" s="15"/>
      <c r="Q366" s="11"/>
    </row>
    <row r="367" spans="4:17">
      <c r="D367" s="15"/>
      <c r="F367" s="11"/>
      <c r="N367" s="15"/>
      <c r="Q367" s="11"/>
    </row>
    <row r="368" spans="4:17">
      <c r="D368" s="15"/>
      <c r="F368" s="11"/>
      <c r="N368" s="15"/>
      <c r="Q368" s="11"/>
    </row>
    <row r="369" spans="4:17">
      <c r="D369" s="15"/>
      <c r="F369" s="11"/>
      <c r="N369" s="15"/>
      <c r="Q369" s="11"/>
    </row>
    <row r="370" spans="4:17">
      <c r="D370" s="15"/>
      <c r="F370" s="11"/>
      <c r="N370" s="15"/>
      <c r="Q370" s="11"/>
    </row>
    <row r="371" spans="4:17">
      <c r="D371" s="15"/>
      <c r="F371" s="11"/>
      <c r="N371" s="15"/>
      <c r="Q371" s="11"/>
    </row>
    <row r="372" spans="4:17">
      <c r="D372" s="15"/>
      <c r="F372" s="11"/>
      <c r="N372" s="15"/>
      <c r="Q372" s="11"/>
    </row>
    <row r="373" spans="4:17">
      <c r="D373" s="15"/>
      <c r="F373" s="11"/>
      <c r="N373" s="15"/>
      <c r="Q373" s="11"/>
    </row>
    <row r="374" spans="4:17">
      <c r="D374" s="15"/>
      <c r="F374" s="11"/>
      <c r="N374" s="15"/>
      <c r="Q374" s="11"/>
    </row>
    <row r="375" spans="4:17">
      <c r="D375" s="15"/>
      <c r="F375" s="11"/>
      <c r="N375" s="15"/>
      <c r="Q375" s="11"/>
    </row>
    <row r="376" spans="4:17">
      <c r="D376" s="15"/>
      <c r="F376" s="11"/>
      <c r="N376" s="15"/>
      <c r="Q376" s="11"/>
    </row>
    <row r="377" spans="4:17">
      <c r="D377" s="15"/>
      <c r="F377" s="11"/>
      <c r="N377" s="15"/>
      <c r="Q377" s="11"/>
    </row>
    <row r="378" spans="4:17">
      <c r="D378" s="15"/>
      <c r="F378" s="11"/>
      <c r="N378" s="15"/>
      <c r="Q378" s="11"/>
    </row>
    <row r="379" spans="4:17">
      <c r="D379" s="15"/>
      <c r="F379" s="11"/>
      <c r="N379" s="15"/>
      <c r="Q379" s="11"/>
    </row>
    <row r="380" spans="4:17">
      <c r="D380" s="15"/>
      <c r="F380" s="11"/>
      <c r="N380" s="15"/>
      <c r="Q380" s="11"/>
    </row>
    <row r="381" spans="4:17">
      <c r="D381" s="15"/>
      <c r="F381" s="11"/>
      <c r="N381" s="15"/>
      <c r="Q381" s="11"/>
    </row>
    <row r="382" spans="4:17">
      <c r="D382" s="15"/>
      <c r="F382" s="11"/>
      <c r="N382" s="15"/>
      <c r="Q382" s="11"/>
    </row>
    <row r="383" spans="4:17">
      <c r="D383" s="15"/>
      <c r="F383" s="11"/>
      <c r="N383" s="15"/>
      <c r="Q383" s="11"/>
    </row>
    <row r="384" spans="4:17">
      <c r="D384" s="15"/>
      <c r="F384" s="11"/>
      <c r="N384" s="15"/>
      <c r="Q384" s="11"/>
    </row>
    <row r="385" spans="4:17">
      <c r="D385" s="15"/>
      <c r="F385" s="11"/>
      <c r="N385" s="15"/>
      <c r="Q385" s="11"/>
    </row>
    <row r="386" spans="4:17">
      <c r="D386" s="15"/>
      <c r="F386" s="11"/>
      <c r="N386" s="15"/>
      <c r="Q386" s="11"/>
    </row>
    <row r="387" spans="4:17">
      <c r="D387" s="15"/>
      <c r="F387" s="11"/>
      <c r="N387" s="15"/>
      <c r="Q387" s="11"/>
    </row>
    <row r="388" spans="4:17">
      <c r="D388" s="15"/>
      <c r="F388" s="11"/>
      <c r="N388" s="15"/>
      <c r="Q388" s="11"/>
    </row>
    <row r="389" spans="4:17">
      <c r="D389" s="15"/>
      <c r="F389" s="11"/>
      <c r="N389" s="15"/>
      <c r="Q389" s="11"/>
    </row>
    <row r="390" spans="4:17">
      <c r="D390" s="15"/>
      <c r="F390" s="11"/>
      <c r="N390" s="15"/>
      <c r="Q390" s="11"/>
    </row>
    <row r="391" spans="4:17">
      <c r="D391" s="15"/>
      <c r="F391" s="11"/>
      <c r="N391" s="15"/>
      <c r="Q391" s="11"/>
    </row>
    <row r="392" spans="4:17">
      <c r="D392" s="15"/>
      <c r="F392" s="11"/>
      <c r="N392" s="15"/>
      <c r="Q392" s="11"/>
    </row>
    <row r="393" spans="4:17">
      <c r="D393" s="15"/>
      <c r="F393" s="11"/>
      <c r="N393" s="15"/>
      <c r="Q393" s="11"/>
    </row>
    <row r="394" spans="4:17">
      <c r="D394" s="15"/>
      <c r="F394" s="11"/>
      <c r="N394" s="15"/>
      <c r="Q394" s="11"/>
    </row>
    <row r="395" spans="4:17">
      <c r="D395" s="15"/>
      <c r="F395" s="11"/>
      <c r="N395" s="15"/>
      <c r="Q395" s="11"/>
    </row>
    <row r="396" spans="4:17">
      <c r="D396" s="15"/>
      <c r="F396" s="11"/>
      <c r="N396" s="15"/>
      <c r="Q396" s="11"/>
    </row>
    <row r="397" spans="4:17">
      <c r="D397" s="15"/>
      <c r="F397" s="11"/>
      <c r="N397" s="15"/>
      <c r="Q397" s="11"/>
    </row>
    <row r="398" spans="4:17">
      <c r="D398" s="15"/>
      <c r="F398" s="11"/>
      <c r="N398" s="15"/>
      <c r="Q398" s="11"/>
    </row>
    <row r="399" spans="4:17">
      <c r="D399" s="15"/>
      <c r="F399" s="11"/>
      <c r="N399" s="15"/>
      <c r="Q399" s="11"/>
    </row>
    <row r="400" spans="4:17">
      <c r="D400" s="15"/>
      <c r="F400" s="11"/>
      <c r="N400" s="15"/>
      <c r="Q400" s="11"/>
    </row>
    <row r="401" spans="4:17">
      <c r="D401" s="15"/>
      <c r="F401" s="11"/>
      <c r="N401" s="15"/>
      <c r="Q401" s="11"/>
    </row>
    <row r="402" spans="4:17">
      <c r="D402" s="15"/>
      <c r="F402" s="11"/>
      <c r="N402" s="15"/>
      <c r="Q402" s="11"/>
    </row>
    <row r="403" spans="4:17">
      <c r="D403" s="15"/>
      <c r="F403" s="11"/>
      <c r="N403" s="15"/>
      <c r="Q403" s="11"/>
    </row>
    <row r="404" spans="4:17">
      <c r="D404" s="15"/>
      <c r="F404" s="11"/>
      <c r="N404" s="15"/>
      <c r="Q404" s="11"/>
    </row>
    <row r="405" spans="4:17">
      <c r="D405" s="15"/>
      <c r="F405" s="11"/>
      <c r="N405" s="15"/>
      <c r="Q405" s="11"/>
    </row>
    <row r="406" spans="4:17">
      <c r="D406" s="15"/>
      <c r="F406" s="11"/>
      <c r="N406" s="15"/>
      <c r="Q406" s="11"/>
    </row>
    <row r="407" spans="4:17">
      <c r="D407" s="15"/>
      <c r="F407" s="11"/>
      <c r="N407" s="15"/>
      <c r="Q407" s="11"/>
    </row>
    <row r="408" spans="4:17">
      <c r="D408" s="15"/>
      <c r="F408" s="11"/>
      <c r="N408" s="15"/>
      <c r="Q408" s="11"/>
    </row>
    <row r="409" spans="4:17">
      <c r="D409" s="15"/>
      <c r="F409" s="11"/>
      <c r="N409" s="15"/>
      <c r="Q409" s="11"/>
    </row>
    <row r="410" spans="4:17">
      <c r="D410" s="15"/>
      <c r="F410" s="11"/>
      <c r="N410" s="15"/>
      <c r="Q410" s="11"/>
    </row>
    <row r="411" spans="4:17">
      <c r="D411" s="15"/>
      <c r="F411" s="11"/>
      <c r="N411" s="15"/>
      <c r="Q411" s="11"/>
    </row>
    <row r="412" spans="4:17">
      <c r="D412" s="15"/>
      <c r="F412" s="11"/>
      <c r="N412" s="15"/>
      <c r="Q412" s="11"/>
    </row>
    <row r="413" spans="4:17">
      <c r="D413" s="15"/>
      <c r="F413" s="11"/>
      <c r="N413" s="15"/>
      <c r="Q413" s="11"/>
    </row>
    <row r="414" spans="4:17">
      <c r="D414" s="15"/>
      <c r="F414" s="11"/>
      <c r="N414" s="15"/>
      <c r="Q414" s="11"/>
    </row>
    <row r="415" spans="4:17">
      <c r="D415" s="15"/>
      <c r="F415" s="11"/>
      <c r="N415" s="15"/>
      <c r="Q415" s="11"/>
    </row>
    <row r="416" spans="4:17">
      <c r="D416" s="15"/>
      <c r="F416" s="11"/>
      <c r="N416" s="15"/>
      <c r="Q416" s="11"/>
    </row>
    <row r="417" spans="4:17">
      <c r="D417" s="15"/>
      <c r="F417" s="11"/>
      <c r="N417" s="15"/>
      <c r="Q417" s="11"/>
    </row>
    <row r="418" spans="4:17">
      <c r="D418" s="15"/>
      <c r="F418" s="11"/>
      <c r="N418" s="15"/>
      <c r="Q418" s="11"/>
    </row>
    <row r="419" spans="4:17">
      <c r="D419" s="15"/>
      <c r="F419" s="11"/>
      <c r="N419" s="15"/>
      <c r="Q419" s="11"/>
    </row>
    <row r="420" spans="4:17">
      <c r="D420" s="15"/>
      <c r="F420" s="11"/>
      <c r="N420" s="15"/>
      <c r="Q420" s="11"/>
    </row>
    <row r="421" spans="4:17">
      <c r="D421" s="15"/>
      <c r="F421" s="11"/>
      <c r="N421" s="15"/>
      <c r="Q421" s="11"/>
    </row>
    <row r="422" spans="4:17">
      <c r="D422" s="15"/>
      <c r="F422" s="11"/>
      <c r="N422" s="15"/>
      <c r="Q422" s="11"/>
    </row>
    <row r="423" spans="4:17">
      <c r="D423" s="15"/>
      <c r="F423" s="11"/>
      <c r="N423" s="15"/>
      <c r="Q423" s="11"/>
    </row>
    <row r="424" spans="4:17">
      <c r="D424" s="15"/>
      <c r="F424" s="11"/>
      <c r="N424" s="15"/>
      <c r="Q424" s="11"/>
    </row>
    <row r="425" spans="4:17">
      <c r="D425" s="15"/>
      <c r="F425" s="11"/>
      <c r="N425" s="15"/>
      <c r="Q425" s="11"/>
    </row>
    <row r="426" spans="4:17">
      <c r="D426" s="15"/>
      <c r="F426" s="11"/>
      <c r="N426" s="15"/>
      <c r="Q426" s="11"/>
    </row>
    <row r="427" spans="4:17">
      <c r="D427" s="15"/>
      <c r="F427" s="11"/>
      <c r="N427" s="15"/>
      <c r="Q427" s="11"/>
    </row>
    <row r="428" spans="4:17">
      <c r="D428" s="15"/>
      <c r="F428" s="11"/>
      <c r="N428" s="15"/>
      <c r="Q428" s="11"/>
    </row>
    <row r="429" spans="4:17">
      <c r="D429" s="15"/>
      <c r="F429" s="11"/>
      <c r="N429" s="15"/>
      <c r="Q429" s="11"/>
    </row>
    <row r="430" spans="4:17">
      <c r="D430" s="15"/>
      <c r="F430" s="11"/>
      <c r="N430" s="15"/>
      <c r="Q430" s="11"/>
    </row>
    <row r="431" spans="4:17">
      <c r="D431" s="15"/>
      <c r="F431" s="11"/>
      <c r="N431" s="15"/>
      <c r="Q431" s="11"/>
    </row>
    <row r="432" spans="4:17">
      <c r="D432" s="15"/>
      <c r="F432" s="11"/>
      <c r="N432" s="15"/>
      <c r="Q432" s="11"/>
    </row>
    <row r="433" spans="4:17">
      <c r="D433" s="15"/>
      <c r="F433" s="11"/>
      <c r="N433" s="15"/>
      <c r="Q433" s="11"/>
    </row>
    <row r="434" spans="4:17">
      <c r="D434" s="15"/>
      <c r="F434" s="11"/>
      <c r="N434" s="15"/>
      <c r="Q434" s="11"/>
    </row>
    <row r="435" spans="4:17">
      <c r="D435" s="15"/>
      <c r="F435" s="11"/>
      <c r="N435" s="15"/>
      <c r="Q435" s="11"/>
    </row>
    <row r="436" spans="4:17">
      <c r="D436" s="15"/>
      <c r="F436" s="11"/>
      <c r="N436" s="15"/>
      <c r="Q436" s="11"/>
    </row>
    <row r="437" spans="4:17">
      <c r="D437" s="15"/>
      <c r="F437" s="11"/>
      <c r="N437" s="15"/>
      <c r="Q437" s="11"/>
    </row>
    <row r="438" spans="4:17">
      <c r="D438" s="15"/>
      <c r="F438" s="11"/>
      <c r="N438" s="15"/>
      <c r="Q438" s="11"/>
    </row>
    <row r="439" spans="4:17">
      <c r="D439" s="15"/>
      <c r="F439" s="11"/>
      <c r="N439" s="15"/>
      <c r="Q439" s="11"/>
    </row>
    <row r="440" spans="4:17">
      <c r="D440" s="15"/>
      <c r="F440" s="11"/>
      <c r="N440" s="15"/>
      <c r="Q440" s="11"/>
    </row>
    <row r="441" spans="4:17">
      <c r="D441" s="15"/>
      <c r="F441" s="11"/>
      <c r="N441" s="15"/>
      <c r="Q441" s="11"/>
    </row>
    <row r="442" spans="4:17">
      <c r="D442" s="15"/>
      <c r="F442" s="11"/>
      <c r="N442" s="15"/>
      <c r="Q442" s="11"/>
    </row>
    <row r="443" spans="4:17">
      <c r="D443" s="15"/>
      <c r="F443" s="11"/>
      <c r="N443" s="15"/>
      <c r="Q443" s="11"/>
    </row>
    <row r="444" spans="4:17">
      <c r="D444" s="15"/>
      <c r="F444" s="11"/>
      <c r="N444" s="15"/>
      <c r="Q444" s="11"/>
    </row>
    <row r="445" spans="4:17">
      <c r="D445" s="15"/>
      <c r="F445" s="11"/>
      <c r="N445" s="15"/>
      <c r="Q445" s="11"/>
    </row>
    <row r="446" spans="4:17">
      <c r="D446" s="15"/>
      <c r="F446" s="11"/>
      <c r="N446" s="15"/>
      <c r="Q446" s="11"/>
    </row>
    <row r="447" spans="4:17">
      <c r="D447" s="15"/>
      <c r="F447" s="11"/>
      <c r="N447" s="15"/>
      <c r="Q447" s="11"/>
    </row>
    <row r="448" spans="4:17">
      <c r="D448" s="15"/>
      <c r="F448" s="11"/>
      <c r="N448" s="15"/>
      <c r="Q448" s="11"/>
    </row>
    <row r="449" spans="4:17">
      <c r="D449" s="15"/>
      <c r="F449" s="11"/>
      <c r="N449" s="15"/>
      <c r="Q449" s="11"/>
    </row>
    <row r="450" spans="4:17">
      <c r="D450" s="15"/>
      <c r="F450" s="11"/>
      <c r="N450" s="15"/>
      <c r="Q450" s="11"/>
    </row>
    <row r="451" spans="4:17">
      <c r="D451" s="15"/>
      <c r="F451" s="11"/>
      <c r="N451" s="15"/>
      <c r="Q451" s="11"/>
    </row>
    <row r="452" spans="4:17">
      <c r="D452" s="15"/>
      <c r="F452" s="11"/>
      <c r="N452" s="15"/>
      <c r="Q452" s="11"/>
    </row>
    <row r="453" spans="4:17">
      <c r="D453" s="15"/>
      <c r="F453" s="11"/>
      <c r="N453" s="15"/>
      <c r="Q453" s="11"/>
    </row>
    <row r="454" spans="4:17">
      <c r="D454" s="15"/>
      <c r="F454" s="11"/>
      <c r="N454" s="15"/>
      <c r="Q454" s="11"/>
    </row>
    <row r="455" spans="4:17">
      <c r="D455" s="15"/>
      <c r="F455" s="11"/>
      <c r="N455" s="15"/>
      <c r="Q455" s="11"/>
    </row>
    <row r="456" spans="4:17">
      <c r="D456" s="15"/>
      <c r="F456" s="11"/>
      <c r="N456" s="15"/>
      <c r="Q456" s="11"/>
    </row>
    <row r="457" spans="4:17">
      <c r="D457" s="15"/>
      <c r="F457" s="11"/>
      <c r="N457" s="15"/>
      <c r="Q457" s="11"/>
    </row>
    <row r="458" spans="4:17">
      <c r="D458" s="15"/>
      <c r="F458" s="11"/>
      <c r="N458" s="15"/>
      <c r="Q458" s="11"/>
    </row>
    <row r="459" spans="4:17">
      <c r="D459" s="15"/>
      <c r="F459" s="11"/>
      <c r="N459" s="15"/>
      <c r="Q459" s="11"/>
    </row>
    <row r="460" spans="4:17">
      <c r="D460" s="15"/>
      <c r="F460" s="11"/>
      <c r="N460" s="15"/>
      <c r="Q460" s="11"/>
    </row>
    <row r="461" spans="4:17">
      <c r="D461" s="15"/>
      <c r="F461" s="11"/>
      <c r="N461" s="15"/>
      <c r="Q461" s="11"/>
    </row>
    <row r="462" spans="4:17">
      <c r="D462" s="15"/>
      <c r="F462" s="11"/>
      <c r="N462" s="15"/>
      <c r="Q462" s="11"/>
    </row>
    <row r="463" spans="4:17">
      <c r="D463" s="15"/>
      <c r="F463" s="11"/>
      <c r="N463" s="15"/>
      <c r="Q463" s="11"/>
    </row>
    <row r="464" spans="4:17">
      <c r="D464" s="15"/>
      <c r="F464" s="11"/>
      <c r="N464" s="15"/>
      <c r="Q464" s="11"/>
    </row>
    <row r="465" spans="4:17">
      <c r="D465" s="15"/>
      <c r="F465" s="11"/>
      <c r="N465" s="15"/>
      <c r="Q465" s="11"/>
    </row>
    <row r="466" spans="4:17">
      <c r="D466" s="15"/>
      <c r="F466" s="11"/>
      <c r="N466" s="15"/>
      <c r="Q466" s="11"/>
    </row>
    <row r="467" spans="4:17">
      <c r="D467" s="15"/>
      <c r="F467" s="11"/>
      <c r="N467" s="15"/>
      <c r="Q467" s="11"/>
    </row>
    <row r="468" spans="4:17">
      <c r="D468" s="15"/>
      <c r="F468" s="11"/>
      <c r="N468" s="15"/>
      <c r="Q468" s="11"/>
    </row>
    <row r="469" spans="4:17">
      <c r="D469" s="15"/>
      <c r="F469" s="11"/>
      <c r="N469" s="15"/>
      <c r="Q469" s="11"/>
    </row>
    <row r="470" spans="4:17">
      <c r="D470" s="15"/>
      <c r="F470" s="11"/>
      <c r="N470" s="15"/>
      <c r="Q470" s="11"/>
    </row>
    <row r="471" spans="4:17">
      <c r="D471" s="15"/>
      <c r="F471" s="11"/>
      <c r="N471" s="15"/>
      <c r="Q471" s="11"/>
    </row>
    <row r="472" spans="4:17">
      <c r="D472" s="15"/>
      <c r="F472" s="11"/>
      <c r="N472" s="15"/>
      <c r="Q472" s="11"/>
    </row>
    <row r="473" spans="4:17">
      <c r="D473" s="15"/>
      <c r="F473" s="11"/>
      <c r="N473" s="15"/>
      <c r="Q473" s="11"/>
    </row>
    <row r="474" spans="4:17">
      <c r="D474" s="15"/>
      <c r="F474" s="11"/>
      <c r="N474" s="15"/>
      <c r="Q474" s="11"/>
    </row>
    <row r="475" spans="4:17">
      <c r="D475" s="15"/>
      <c r="F475" s="11"/>
      <c r="N475" s="15"/>
      <c r="Q475" s="11"/>
    </row>
    <row r="476" spans="4:17">
      <c r="D476" s="15"/>
      <c r="F476" s="11"/>
      <c r="N476" s="15"/>
      <c r="Q476" s="11"/>
    </row>
    <row r="477" spans="4:17">
      <c r="D477" s="15"/>
      <c r="F477" s="11"/>
      <c r="N477" s="15"/>
      <c r="Q477" s="11"/>
    </row>
    <row r="478" spans="4:17">
      <c r="D478" s="15"/>
      <c r="F478" s="11"/>
      <c r="N478" s="15"/>
      <c r="Q478" s="11"/>
    </row>
    <row r="479" spans="4:17">
      <c r="D479" s="15"/>
      <c r="F479" s="11"/>
      <c r="N479" s="15"/>
      <c r="Q479" s="11"/>
    </row>
    <row r="480" spans="4:17">
      <c r="D480" s="15"/>
      <c r="F480" s="11"/>
      <c r="N480" s="15"/>
      <c r="Q480" s="11"/>
    </row>
    <row r="481" spans="4:17">
      <c r="D481" s="15"/>
      <c r="F481" s="11"/>
      <c r="N481" s="15"/>
      <c r="Q481" s="11"/>
    </row>
    <row r="482" spans="4:17">
      <c r="D482" s="15"/>
      <c r="F482" s="11"/>
      <c r="N482" s="15"/>
      <c r="Q482" s="11"/>
    </row>
    <row r="483" spans="4:17">
      <c r="D483" s="15"/>
      <c r="F483" s="11"/>
      <c r="N483" s="15"/>
      <c r="Q483" s="11"/>
    </row>
    <row r="484" spans="4:17">
      <c r="D484" s="15"/>
      <c r="F484" s="11"/>
      <c r="N484" s="15"/>
      <c r="Q484" s="11"/>
    </row>
    <row r="485" spans="4:17">
      <c r="D485" s="15"/>
      <c r="F485" s="11"/>
      <c r="N485" s="15"/>
      <c r="Q485" s="11"/>
    </row>
    <row r="486" spans="4:17">
      <c r="D486" s="15"/>
      <c r="F486" s="11"/>
      <c r="N486" s="15"/>
      <c r="Q486" s="11"/>
    </row>
    <row r="487" spans="4:17">
      <c r="D487" s="15"/>
      <c r="F487" s="11"/>
      <c r="N487" s="15"/>
      <c r="Q487" s="11"/>
    </row>
    <row r="488" spans="4:17">
      <c r="D488" s="15"/>
      <c r="F488" s="11"/>
      <c r="N488" s="15"/>
      <c r="Q488" s="11"/>
    </row>
    <row r="489" spans="4:17">
      <c r="D489" s="15"/>
      <c r="F489" s="11"/>
      <c r="N489" s="15"/>
      <c r="Q489" s="11"/>
    </row>
    <row r="490" spans="4:17">
      <c r="D490" s="15"/>
      <c r="F490" s="11"/>
      <c r="N490" s="15"/>
      <c r="Q490" s="11"/>
    </row>
    <row r="491" spans="4:17">
      <c r="D491" s="15"/>
      <c r="F491" s="11"/>
      <c r="N491" s="15"/>
      <c r="Q491" s="11"/>
    </row>
    <row r="492" spans="4:17">
      <c r="D492" s="15"/>
      <c r="F492" s="11"/>
      <c r="N492" s="15"/>
      <c r="Q492" s="11"/>
    </row>
    <row r="493" spans="4:17">
      <c r="D493" s="15"/>
      <c r="F493" s="11"/>
      <c r="N493" s="15"/>
      <c r="Q493" s="11"/>
    </row>
    <row r="494" spans="4:17">
      <c r="D494" s="15"/>
      <c r="F494" s="11"/>
      <c r="N494" s="15"/>
      <c r="Q494" s="11"/>
    </row>
    <row r="495" spans="4:17">
      <c r="D495" s="15"/>
      <c r="F495" s="11"/>
      <c r="N495" s="15"/>
      <c r="Q495" s="11"/>
    </row>
    <row r="496" spans="4:17">
      <c r="D496" s="15"/>
      <c r="F496" s="11"/>
      <c r="N496" s="15"/>
      <c r="Q496" s="11"/>
    </row>
    <row r="497" spans="4:17">
      <c r="D497" s="15"/>
      <c r="F497" s="11"/>
      <c r="N497" s="15"/>
      <c r="Q497" s="11"/>
    </row>
    <row r="498" spans="4:17">
      <c r="D498" s="15"/>
      <c r="F498" s="11"/>
      <c r="N498" s="15"/>
      <c r="Q498" s="11"/>
    </row>
    <row r="499" spans="4:17">
      <c r="D499" s="15"/>
      <c r="F499" s="11"/>
      <c r="N499" s="15"/>
      <c r="Q499" s="11"/>
    </row>
    <row r="500" spans="4:17">
      <c r="D500" s="15"/>
      <c r="F500" s="11"/>
      <c r="N500" s="15"/>
      <c r="Q500" s="11"/>
    </row>
    <row r="501" spans="4:17">
      <c r="D501" s="15"/>
      <c r="F501" s="11"/>
      <c r="N501" s="15"/>
      <c r="Q501" s="11"/>
    </row>
    <row r="502" spans="4:17">
      <c r="D502" s="15"/>
      <c r="F502" s="11"/>
      <c r="N502" s="15"/>
      <c r="Q502" s="11"/>
    </row>
    <row r="503" spans="4:17">
      <c r="D503" s="15"/>
      <c r="F503" s="11"/>
      <c r="N503" s="15"/>
      <c r="Q503" s="11"/>
    </row>
    <row r="504" spans="4:17">
      <c r="D504" s="15"/>
      <c r="F504" s="11"/>
      <c r="N504" s="15"/>
      <c r="Q504" s="11"/>
    </row>
    <row r="505" spans="4:17">
      <c r="D505" s="15"/>
      <c r="F505" s="11"/>
      <c r="N505" s="15"/>
      <c r="Q505" s="11"/>
    </row>
    <row r="506" spans="4:17">
      <c r="D506" s="15"/>
      <c r="F506" s="11"/>
      <c r="N506" s="15"/>
      <c r="Q506" s="11"/>
    </row>
    <row r="507" spans="4:17">
      <c r="D507" s="15"/>
      <c r="F507" s="11"/>
      <c r="N507" s="15"/>
      <c r="Q507" s="11"/>
    </row>
    <row r="508" spans="4:17">
      <c r="D508" s="15"/>
      <c r="F508" s="11"/>
      <c r="N508" s="15"/>
      <c r="Q508" s="11"/>
    </row>
    <row r="509" spans="4:17">
      <c r="D509" s="15"/>
      <c r="F509" s="11"/>
      <c r="N509" s="15"/>
      <c r="Q509" s="11"/>
    </row>
    <row r="510" spans="4:17">
      <c r="D510" s="15"/>
      <c r="F510" s="11"/>
      <c r="N510" s="15"/>
      <c r="Q510" s="11"/>
    </row>
    <row r="511" spans="4:17">
      <c r="D511" s="15"/>
      <c r="F511" s="11"/>
      <c r="N511" s="15"/>
      <c r="Q511" s="11"/>
    </row>
    <row r="512" spans="4:17">
      <c r="D512" s="15"/>
      <c r="F512" s="11"/>
      <c r="N512" s="15"/>
      <c r="Q512" s="11"/>
    </row>
    <row r="513" spans="4:17">
      <c r="D513" s="15"/>
      <c r="F513" s="11"/>
      <c r="N513" s="15"/>
      <c r="Q513" s="11"/>
    </row>
    <row r="514" spans="4:17">
      <c r="D514" s="15"/>
      <c r="F514" s="11"/>
      <c r="N514" s="15"/>
      <c r="Q514" s="11"/>
    </row>
    <row r="515" spans="4:17">
      <c r="D515" s="15"/>
      <c r="F515" s="11"/>
      <c r="N515" s="15"/>
      <c r="Q515" s="11"/>
    </row>
    <row r="516" spans="4:17">
      <c r="D516" s="15"/>
      <c r="F516" s="11"/>
      <c r="N516" s="15"/>
      <c r="Q516" s="11"/>
    </row>
    <row r="517" spans="4:17">
      <c r="D517" s="15"/>
      <c r="F517" s="11"/>
      <c r="N517" s="15"/>
      <c r="Q517" s="11"/>
    </row>
    <row r="518" spans="4:17">
      <c r="D518" s="15"/>
      <c r="F518" s="11"/>
      <c r="N518" s="15"/>
      <c r="Q518" s="11"/>
    </row>
    <row r="519" spans="4:17">
      <c r="D519" s="15"/>
      <c r="F519" s="11"/>
      <c r="N519" s="15"/>
      <c r="Q519" s="11"/>
    </row>
    <row r="520" spans="4:17">
      <c r="D520" s="15"/>
      <c r="F520" s="11"/>
      <c r="N520" s="15"/>
      <c r="Q520" s="11"/>
    </row>
    <row r="521" spans="4:17">
      <c r="D521" s="15"/>
      <c r="F521" s="11"/>
      <c r="N521" s="15"/>
      <c r="Q521" s="11"/>
    </row>
    <row r="522" spans="4:17">
      <c r="D522" s="15"/>
      <c r="F522" s="11"/>
      <c r="N522" s="15"/>
      <c r="Q522" s="11"/>
    </row>
    <row r="523" spans="4:17">
      <c r="D523" s="15"/>
      <c r="F523" s="11"/>
      <c r="N523" s="15"/>
      <c r="Q523" s="11"/>
    </row>
    <row r="524" spans="4:17">
      <c r="D524" s="15"/>
      <c r="F524" s="11"/>
      <c r="N524" s="15"/>
      <c r="Q524" s="11"/>
    </row>
    <row r="525" spans="4:17">
      <c r="D525" s="15"/>
      <c r="F525" s="11"/>
      <c r="N525" s="15"/>
      <c r="Q525" s="11"/>
    </row>
    <row r="526" spans="4:17">
      <c r="D526" s="15"/>
      <c r="F526" s="11"/>
      <c r="N526" s="15"/>
      <c r="Q526" s="11"/>
    </row>
    <row r="527" spans="4:17">
      <c r="D527" s="15"/>
      <c r="F527" s="11"/>
      <c r="N527" s="15"/>
      <c r="Q527" s="11"/>
    </row>
    <row r="528" spans="4:17">
      <c r="D528" s="15"/>
      <c r="F528" s="11"/>
      <c r="N528" s="15"/>
      <c r="Q528" s="11"/>
    </row>
    <row r="529" spans="4:17">
      <c r="D529" s="15"/>
      <c r="F529" s="11"/>
      <c r="N529" s="15"/>
      <c r="Q529" s="11"/>
    </row>
    <row r="530" spans="4:17">
      <c r="D530" s="15"/>
      <c r="F530" s="11"/>
      <c r="N530" s="15"/>
      <c r="Q530" s="11"/>
    </row>
    <row r="531" spans="4:17">
      <c r="D531" s="15"/>
      <c r="F531" s="11"/>
      <c r="N531" s="15"/>
      <c r="Q531" s="11"/>
    </row>
    <row r="532" spans="4:17">
      <c r="D532" s="15"/>
      <c r="F532" s="11"/>
      <c r="N532" s="15"/>
      <c r="Q532" s="11"/>
    </row>
    <row r="533" spans="4:17">
      <c r="D533" s="15"/>
      <c r="F533" s="11"/>
      <c r="N533" s="15"/>
      <c r="Q533" s="11"/>
    </row>
    <row r="534" spans="4:17">
      <c r="D534" s="15"/>
      <c r="F534" s="11"/>
      <c r="N534" s="15"/>
      <c r="Q534" s="11"/>
    </row>
    <row r="535" spans="4:17">
      <c r="D535" s="15"/>
      <c r="F535" s="11"/>
      <c r="N535" s="15"/>
      <c r="Q535" s="11"/>
    </row>
    <row r="536" spans="4:17">
      <c r="D536" s="15"/>
      <c r="F536" s="11"/>
      <c r="N536" s="15"/>
      <c r="Q536" s="11"/>
    </row>
    <row r="537" spans="4:17">
      <c r="D537" s="15"/>
      <c r="F537" s="11"/>
      <c r="N537" s="15"/>
      <c r="Q537" s="11"/>
    </row>
    <row r="538" spans="4:17">
      <c r="D538" s="15"/>
      <c r="F538" s="11"/>
      <c r="N538" s="15"/>
      <c r="Q538" s="11"/>
    </row>
    <row r="539" spans="4:17">
      <c r="D539" s="15"/>
      <c r="F539" s="11"/>
      <c r="N539" s="15"/>
      <c r="Q539" s="11"/>
    </row>
    <row r="540" spans="4:17">
      <c r="D540" s="15"/>
      <c r="F540" s="11"/>
      <c r="N540" s="15"/>
      <c r="Q540" s="11"/>
    </row>
    <row r="541" spans="4:17">
      <c r="D541" s="15"/>
      <c r="F541" s="11"/>
      <c r="N541" s="15"/>
      <c r="Q541" s="11"/>
    </row>
    <row r="542" spans="4:17">
      <c r="D542" s="15"/>
      <c r="F542" s="11"/>
      <c r="N542" s="15"/>
      <c r="Q542" s="11"/>
    </row>
    <row r="543" spans="4:17">
      <c r="D543" s="15"/>
      <c r="F543" s="11"/>
      <c r="N543" s="15"/>
      <c r="Q543" s="11"/>
    </row>
    <row r="544" spans="4:17">
      <c r="D544" s="15"/>
      <c r="F544" s="11"/>
      <c r="N544" s="15"/>
      <c r="Q544" s="11"/>
    </row>
    <row r="545" spans="4:17">
      <c r="D545" s="15"/>
      <c r="F545" s="11"/>
      <c r="N545" s="15"/>
      <c r="Q545" s="11"/>
    </row>
    <row r="546" spans="4:17">
      <c r="D546" s="15"/>
      <c r="F546" s="11"/>
      <c r="N546" s="15"/>
      <c r="Q546" s="11"/>
    </row>
    <row r="547" spans="4:17">
      <c r="D547" s="15"/>
      <c r="F547" s="11"/>
      <c r="N547" s="15"/>
      <c r="Q547" s="11"/>
    </row>
    <row r="548" spans="4:17">
      <c r="D548" s="15"/>
      <c r="F548" s="11"/>
      <c r="N548" s="15"/>
      <c r="Q548" s="11"/>
    </row>
    <row r="549" spans="4:17">
      <c r="D549" s="15"/>
      <c r="F549" s="11"/>
      <c r="N549" s="15"/>
      <c r="Q549" s="11"/>
    </row>
    <row r="550" spans="4:17">
      <c r="D550" s="15"/>
      <c r="F550" s="11"/>
      <c r="N550" s="15"/>
      <c r="Q550" s="11"/>
    </row>
    <row r="551" spans="4:17">
      <c r="D551" s="15"/>
      <c r="F551" s="11"/>
      <c r="N551" s="15"/>
      <c r="Q551" s="11"/>
    </row>
    <row r="552" spans="4:17">
      <c r="D552" s="15"/>
      <c r="F552" s="11"/>
      <c r="N552" s="15"/>
      <c r="Q552" s="11"/>
    </row>
    <row r="553" spans="4:17">
      <c r="D553" s="15"/>
      <c r="F553" s="11"/>
      <c r="N553" s="15"/>
      <c r="Q553" s="11"/>
    </row>
    <row r="554" spans="4:17">
      <c r="D554" s="15"/>
      <c r="F554" s="11"/>
      <c r="N554" s="15"/>
      <c r="Q554" s="11"/>
    </row>
    <row r="555" spans="4:17">
      <c r="D555" s="15"/>
      <c r="F555" s="11"/>
      <c r="N555" s="15"/>
      <c r="Q555" s="11"/>
    </row>
    <row r="556" spans="4:17">
      <c r="D556" s="15"/>
      <c r="F556" s="11"/>
      <c r="N556" s="15"/>
      <c r="Q556" s="11"/>
    </row>
    <row r="557" spans="4:17">
      <c r="D557" s="15"/>
      <c r="F557" s="11"/>
      <c r="N557" s="15"/>
      <c r="Q557" s="11"/>
    </row>
    <row r="558" spans="4:17">
      <c r="D558" s="15"/>
      <c r="F558" s="11"/>
      <c r="N558" s="15"/>
      <c r="Q558" s="11"/>
    </row>
    <row r="559" spans="4:17">
      <c r="D559" s="15"/>
      <c r="F559" s="11"/>
      <c r="N559" s="15"/>
      <c r="Q559" s="11"/>
    </row>
    <row r="560" spans="4:17">
      <c r="D560" s="15"/>
      <c r="F560" s="11"/>
      <c r="N560" s="15"/>
      <c r="Q560" s="11"/>
    </row>
    <row r="561" spans="4:17">
      <c r="D561" s="15"/>
      <c r="F561" s="11"/>
      <c r="N561" s="15"/>
      <c r="Q561" s="11"/>
    </row>
    <row r="562" spans="4:17">
      <c r="D562" s="15"/>
      <c r="F562" s="11"/>
      <c r="N562" s="15"/>
      <c r="Q562" s="11"/>
    </row>
    <row r="563" spans="4:17">
      <c r="D563" s="15"/>
      <c r="F563" s="11"/>
      <c r="N563" s="15"/>
      <c r="Q563" s="11"/>
    </row>
    <row r="564" spans="4:17">
      <c r="D564" s="15"/>
      <c r="F564" s="11"/>
      <c r="N564" s="15"/>
      <c r="Q564" s="11"/>
    </row>
    <row r="565" spans="4:17">
      <c r="D565" s="15"/>
      <c r="F565" s="11"/>
      <c r="N565" s="15"/>
      <c r="Q565" s="11"/>
    </row>
    <row r="566" spans="4:17">
      <c r="D566" s="15"/>
      <c r="F566" s="11"/>
      <c r="N566" s="15"/>
      <c r="Q566" s="11"/>
    </row>
    <row r="567" spans="4:17">
      <c r="D567" s="15"/>
      <c r="F567" s="11"/>
      <c r="N567" s="15"/>
      <c r="Q567" s="11"/>
    </row>
    <row r="568" spans="4:17">
      <c r="D568" s="15"/>
      <c r="F568" s="11"/>
      <c r="N568" s="15"/>
      <c r="Q568" s="11"/>
    </row>
    <row r="569" spans="4:17">
      <c r="D569" s="15"/>
      <c r="F569" s="11"/>
      <c r="N569" s="15"/>
      <c r="Q569" s="11"/>
    </row>
    <row r="570" spans="4:17">
      <c r="D570" s="15"/>
      <c r="F570" s="11"/>
      <c r="N570" s="15"/>
      <c r="Q570" s="11"/>
    </row>
    <row r="571" spans="4:17">
      <c r="D571" s="15"/>
      <c r="F571" s="11"/>
      <c r="N571" s="15"/>
      <c r="Q571" s="11"/>
    </row>
    <row r="572" spans="4:17">
      <c r="D572" s="15"/>
      <c r="F572" s="11"/>
      <c r="N572" s="15"/>
      <c r="Q572" s="11"/>
    </row>
    <row r="573" spans="4:17">
      <c r="D573" s="15"/>
      <c r="F573" s="11"/>
      <c r="N573" s="15"/>
      <c r="Q573" s="11"/>
    </row>
    <row r="574" spans="4:17">
      <c r="D574" s="15"/>
      <c r="F574" s="11"/>
      <c r="N574" s="15"/>
      <c r="Q574" s="11"/>
    </row>
    <row r="575" spans="4:17">
      <c r="D575" s="15"/>
      <c r="F575" s="11"/>
      <c r="N575" s="15"/>
      <c r="Q575" s="11"/>
    </row>
    <row r="576" spans="4:17">
      <c r="D576" s="15"/>
      <c r="F576" s="11"/>
      <c r="N576" s="15"/>
      <c r="Q576" s="11"/>
    </row>
    <row r="577" spans="4:17">
      <c r="D577" s="15"/>
      <c r="F577" s="11"/>
      <c r="N577" s="15"/>
      <c r="Q577" s="11"/>
    </row>
    <row r="578" spans="4:17">
      <c r="D578" s="15"/>
      <c r="F578" s="11"/>
      <c r="N578" s="15"/>
      <c r="Q578" s="11"/>
    </row>
    <row r="579" spans="4:17">
      <c r="D579" s="15"/>
      <c r="F579" s="11"/>
      <c r="N579" s="15"/>
      <c r="Q579" s="11"/>
    </row>
    <row r="580" spans="4:17">
      <c r="D580" s="15"/>
      <c r="F580" s="11"/>
      <c r="N580" s="15"/>
      <c r="Q580" s="11"/>
    </row>
    <row r="581" spans="4:17">
      <c r="D581" s="15"/>
      <c r="F581" s="11"/>
      <c r="N581" s="15"/>
      <c r="Q581" s="11"/>
    </row>
    <row r="582" spans="4:17">
      <c r="D582" s="15"/>
      <c r="F582" s="11"/>
      <c r="N582" s="15"/>
      <c r="Q582" s="11"/>
    </row>
    <row r="583" spans="4:17">
      <c r="D583" s="15"/>
      <c r="F583" s="11"/>
      <c r="N583" s="15"/>
      <c r="Q583" s="11"/>
    </row>
    <row r="584" spans="4:17">
      <c r="D584" s="15"/>
      <c r="F584" s="11"/>
      <c r="N584" s="15"/>
      <c r="Q584" s="11"/>
    </row>
    <row r="585" spans="4:17">
      <c r="D585" s="15"/>
      <c r="F585" s="11"/>
      <c r="N585" s="15"/>
      <c r="Q585" s="11"/>
    </row>
    <row r="586" spans="4:17">
      <c r="D586" s="15"/>
      <c r="F586" s="11"/>
      <c r="N586" s="15"/>
      <c r="Q586" s="11"/>
    </row>
    <row r="587" spans="4:17">
      <c r="D587" s="15"/>
      <c r="F587" s="11"/>
      <c r="N587" s="15"/>
      <c r="Q587" s="11"/>
    </row>
    <row r="588" spans="4:17">
      <c r="D588" s="15"/>
      <c r="F588" s="11"/>
      <c r="N588" s="15"/>
      <c r="Q588" s="11"/>
    </row>
    <row r="589" spans="4:17">
      <c r="D589" s="15"/>
      <c r="F589" s="11"/>
      <c r="N589" s="15"/>
      <c r="Q589" s="11"/>
    </row>
    <row r="590" spans="4:17">
      <c r="D590" s="15"/>
      <c r="F590" s="11"/>
      <c r="N590" s="15"/>
      <c r="Q590" s="11"/>
    </row>
    <row r="591" spans="4:17">
      <c r="D591" s="15"/>
      <c r="F591" s="11"/>
      <c r="N591" s="15"/>
      <c r="Q591" s="11"/>
    </row>
    <row r="592" spans="4:17">
      <c r="D592" s="15"/>
      <c r="F592" s="11"/>
      <c r="N592" s="15"/>
      <c r="Q592" s="11"/>
    </row>
    <row r="593" spans="4:17">
      <c r="D593" s="15"/>
      <c r="F593" s="11"/>
      <c r="N593" s="15"/>
      <c r="Q593" s="11"/>
    </row>
    <row r="594" spans="4:17">
      <c r="D594" s="15"/>
      <c r="F594" s="11"/>
      <c r="N594" s="15"/>
      <c r="Q594" s="11"/>
    </row>
    <row r="595" spans="4:17">
      <c r="D595" s="15"/>
      <c r="F595" s="11"/>
      <c r="N595" s="15"/>
      <c r="Q595" s="11"/>
    </row>
    <row r="596" spans="4:17">
      <c r="D596" s="15"/>
      <c r="F596" s="11"/>
      <c r="N596" s="15"/>
      <c r="Q596" s="11"/>
    </row>
    <row r="597" spans="4:17">
      <c r="D597" s="15"/>
      <c r="F597" s="11"/>
      <c r="N597" s="15"/>
      <c r="Q597" s="11"/>
    </row>
    <row r="598" spans="4:17">
      <c r="D598" s="15"/>
      <c r="F598" s="11"/>
      <c r="N598" s="15"/>
      <c r="Q598" s="11"/>
    </row>
    <row r="599" spans="4:17">
      <c r="D599" s="15"/>
      <c r="F599" s="11"/>
      <c r="N599" s="15"/>
      <c r="Q599" s="11"/>
    </row>
    <row r="600" spans="4:17">
      <c r="D600" s="15"/>
      <c r="F600" s="11"/>
      <c r="N600" s="15"/>
      <c r="Q600" s="11"/>
    </row>
    <row r="601" spans="4:17">
      <c r="D601" s="15"/>
      <c r="F601" s="11"/>
      <c r="N601" s="15"/>
      <c r="Q601" s="11"/>
    </row>
    <row r="602" spans="4:17">
      <c r="D602" s="15"/>
      <c r="F602" s="11"/>
      <c r="N602" s="15"/>
      <c r="Q602" s="11"/>
    </row>
    <row r="603" spans="4:17">
      <c r="D603" s="15"/>
      <c r="F603" s="11"/>
      <c r="N603" s="15"/>
      <c r="Q603" s="11"/>
    </row>
    <row r="604" spans="4:17">
      <c r="D604" s="15"/>
      <c r="F604" s="11"/>
      <c r="N604" s="15"/>
      <c r="Q604" s="11"/>
    </row>
    <row r="605" spans="4:17">
      <c r="D605" s="15"/>
      <c r="F605" s="11"/>
      <c r="N605" s="15"/>
      <c r="Q605" s="11"/>
    </row>
    <row r="606" spans="4:17">
      <c r="D606" s="15"/>
      <c r="F606" s="11"/>
      <c r="N606" s="15"/>
      <c r="Q606" s="11"/>
    </row>
    <row r="607" spans="4:17">
      <c r="D607" s="15"/>
      <c r="F607" s="11"/>
      <c r="N607" s="15"/>
      <c r="Q607" s="11"/>
    </row>
    <row r="608" spans="4:17">
      <c r="D608" s="15"/>
      <c r="F608" s="11"/>
      <c r="N608" s="15"/>
      <c r="Q608" s="11"/>
    </row>
    <row r="609" spans="4:17">
      <c r="D609" s="15"/>
      <c r="F609" s="11"/>
      <c r="N609" s="15"/>
      <c r="Q609" s="11"/>
    </row>
    <row r="610" spans="4:17">
      <c r="D610" s="15"/>
      <c r="F610" s="11"/>
      <c r="N610" s="15"/>
      <c r="Q610" s="11"/>
    </row>
    <row r="611" spans="4:17">
      <c r="D611" s="15"/>
      <c r="F611" s="11"/>
      <c r="N611" s="15"/>
      <c r="Q611" s="11"/>
    </row>
    <row r="612" spans="4:17">
      <c r="D612" s="15"/>
      <c r="F612" s="11"/>
      <c r="N612" s="15"/>
      <c r="Q612" s="11"/>
    </row>
    <row r="613" spans="4:17">
      <c r="D613" s="15"/>
      <c r="F613" s="11"/>
      <c r="N613" s="15"/>
      <c r="Q613" s="11"/>
    </row>
    <row r="614" spans="4:17">
      <c r="D614" s="15"/>
      <c r="F614" s="11"/>
      <c r="N614" s="15"/>
      <c r="Q614" s="11"/>
    </row>
    <row r="615" spans="4:17">
      <c r="D615" s="15"/>
      <c r="F615" s="11"/>
      <c r="N615" s="15"/>
      <c r="Q615" s="11"/>
    </row>
    <row r="616" spans="4:17">
      <c r="D616" s="15"/>
      <c r="F616" s="11"/>
      <c r="N616" s="15"/>
      <c r="Q616" s="11"/>
    </row>
    <row r="617" spans="4:17">
      <c r="D617" s="15"/>
      <c r="F617" s="11"/>
      <c r="N617" s="15"/>
      <c r="Q617" s="11"/>
    </row>
    <row r="618" spans="4:17">
      <c r="D618" s="15"/>
      <c r="F618" s="11"/>
      <c r="N618" s="15"/>
      <c r="Q618" s="11"/>
    </row>
    <row r="619" spans="4:17">
      <c r="D619" s="15"/>
      <c r="F619" s="11"/>
      <c r="N619" s="15"/>
      <c r="Q619" s="11"/>
    </row>
    <row r="620" spans="4:17">
      <c r="D620" s="15"/>
      <c r="F620" s="11"/>
      <c r="N620" s="15"/>
      <c r="Q620" s="11"/>
    </row>
    <row r="621" spans="4:17">
      <c r="D621" s="15"/>
      <c r="F621" s="11"/>
      <c r="N621" s="15"/>
      <c r="Q621" s="11"/>
    </row>
    <row r="622" spans="4:17">
      <c r="D622" s="15"/>
      <c r="F622" s="11"/>
      <c r="N622" s="15"/>
      <c r="Q622" s="11"/>
    </row>
    <row r="623" spans="4:17">
      <c r="D623" s="15"/>
      <c r="F623" s="11"/>
      <c r="N623" s="15"/>
      <c r="Q623" s="11"/>
    </row>
    <row r="624" spans="4:17">
      <c r="D624" s="15"/>
      <c r="F624" s="11"/>
      <c r="N624" s="15"/>
      <c r="Q624" s="11"/>
    </row>
    <row r="625" spans="4:17">
      <c r="D625" s="15"/>
      <c r="F625" s="11"/>
      <c r="N625" s="15"/>
      <c r="Q625" s="11"/>
    </row>
    <row r="626" spans="4:17">
      <c r="D626" s="15"/>
      <c r="F626" s="11"/>
      <c r="N626" s="15"/>
      <c r="Q626" s="11"/>
    </row>
    <row r="627" spans="4:17">
      <c r="D627" s="15"/>
      <c r="F627" s="11"/>
      <c r="N627" s="15"/>
      <c r="Q627" s="11"/>
    </row>
    <row r="628" spans="4:17">
      <c r="D628" s="15"/>
      <c r="F628" s="11"/>
      <c r="N628" s="15"/>
      <c r="Q628" s="11"/>
    </row>
    <row r="629" spans="4:17">
      <c r="D629" s="15"/>
      <c r="F629" s="11"/>
      <c r="N629" s="15"/>
      <c r="Q629" s="11"/>
    </row>
    <row r="630" spans="4:17">
      <c r="D630" s="15"/>
      <c r="F630" s="11"/>
      <c r="N630" s="15"/>
      <c r="Q630" s="11"/>
    </row>
    <row r="631" spans="4:17">
      <c r="D631" s="15"/>
      <c r="F631" s="11"/>
      <c r="N631" s="15"/>
      <c r="Q631" s="11"/>
    </row>
    <row r="632" spans="4:17">
      <c r="D632" s="15"/>
      <c r="F632" s="11"/>
      <c r="N632" s="15"/>
      <c r="Q632" s="11"/>
    </row>
    <row r="633" spans="4:17">
      <c r="D633" s="15"/>
      <c r="F633" s="11"/>
      <c r="N633" s="15"/>
      <c r="Q633" s="11"/>
    </row>
    <row r="634" spans="4:17">
      <c r="D634" s="15"/>
      <c r="F634" s="11"/>
      <c r="N634" s="15"/>
      <c r="Q634" s="11"/>
    </row>
    <row r="635" spans="4:17">
      <c r="D635" s="15"/>
      <c r="F635" s="11"/>
      <c r="N635" s="15"/>
      <c r="Q635" s="11"/>
    </row>
    <row r="636" spans="4:17">
      <c r="D636" s="15"/>
      <c r="F636" s="11"/>
      <c r="N636" s="15"/>
      <c r="Q636" s="11"/>
    </row>
    <row r="637" spans="4:17">
      <c r="D637" s="15"/>
      <c r="F637" s="11"/>
      <c r="N637" s="15"/>
      <c r="Q637" s="11"/>
    </row>
    <row r="638" spans="4:17">
      <c r="D638" s="15"/>
      <c r="F638" s="11"/>
      <c r="N638" s="15"/>
      <c r="Q638" s="11"/>
    </row>
    <row r="639" spans="4:17">
      <c r="D639" s="15"/>
      <c r="F639" s="11"/>
      <c r="N639" s="15"/>
      <c r="Q639" s="11"/>
    </row>
    <row r="640" spans="4:17">
      <c r="D640" s="15"/>
      <c r="F640" s="11"/>
      <c r="N640" s="15"/>
      <c r="Q640" s="11"/>
    </row>
    <row r="641" spans="4:17">
      <c r="D641" s="15"/>
      <c r="F641" s="11"/>
      <c r="N641" s="15"/>
      <c r="Q641" s="11"/>
    </row>
    <row r="642" spans="4:17">
      <c r="D642" s="15"/>
      <c r="F642" s="11"/>
      <c r="N642" s="15"/>
      <c r="Q642" s="11"/>
    </row>
    <row r="643" spans="4:17">
      <c r="D643" s="15"/>
      <c r="F643" s="11"/>
      <c r="N643" s="15"/>
      <c r="Q643" s="11"/>
    </row>
    <row r="644" spans="4:17">
      <c r="D644" s="15"/>
      <c r="F644" s="11"/>
      <c r="N644" s="15"/>
      <c r="Q644" s="11"/>
    </row>
    <row r="645" spans="4:17">
      <c r="D645" s="15"/>
      <c r="F645" s="11"/>
      <c r="N645" s="15"/>
      <c r="Q645" s="11"/>
    </row>
    <row r="646" spans="4:17">
      <c r="D646" s="15"/>
      <c r="F646" s="11"/>
      <c r="N646" s="15"/>
      <c r="Q646" s="11"/>
    </row>
    <row r="647" spans="4:17">
      <c r="D647" s="15"/>
      <c r="F647" s="11"/>
      <c r="N647" s="15"/>
      <c r="Q647" s="11"/>
    </row>
    <row r="648" spans="4:17">
      <c r="D648" s="15"/>
      <c r="F648" s="11"/>
      <c r="N648" s="15"/>
      <c r="Q648" s="11"/>
    </row>
    <row r="649" spans="4:17">
      <c r="D649" s="15"/>
      <c r="F649" s="11"/>
      <c r="N649" s="15"/>
      <c r="Q649" s="11"/>
    </row>
    <row r="650" spans="4:17">
      <c r="D650" s="15"/>
      <c r="F650" s="11"/>
      <c r="N650" s="15"/>
      <c r="Q650" s="11"/>
    </row>
    <row r="651" spans="4:17">
      <c r="D651" s="15"/>
      <c r="F651" s="11"/>
      <c r="N651" s="15"/>
      <c r="Q651" s="11"/>
    </row>
    <row r="652" spans="4:17">
      <c r="D652" s="15"/>
      <c r="F652" s="11"/>
      <c r="N652" s="15"/>
      <c r="Q652" s="11"/>
    </row>
    <row r="653" spans="4:17">
      <c r="D653" s="15"/>
      <c r="F653" s="11"/>
      <c r="N653" s="15"/>
      <c r="Q653" s="11"/>
    </row>
    <row r="654" spans="4:17">
      <c r="D654" s="15"/>
      <c r="F654" s="11"/>
      <c r="N654" s="15"/>
      <c r="Q654" s="11"/>
    </row>
    <row r="655" spans="4:17">
      <c r="D655" s="15"/>
      <c r="F655" s="11"/>
      <c r="N655" s="15"/>
      <c r="Q655" s="11"/>
    </row>
    <row r="656" spans="4:17">
      <c r="D656" s="15"/>
      <c r="F656" s="11"/>
      <c r="N656" s="15"/>
      <c r="Q656" s="11"/>
    </row>
    <row r="657" spans="4:17">
      <c r="D657" s="15"/>
      <c r="F657" s="11"/>
      <c r="N657" s="15"/>
      <c r="Q657" s="11"/>
    </row>
    <row r="658" spans="4:17">
      <c r="D658" s="15"/>
      <c r="F658" s="11"/>
      <c r="N658" s="15"/>
      <c r="Q658" s="11"/>
    </row>
    <row r="659" spans="4:17">
      <c r="D659" s="15"/>
      <c r="F659" s="11"/>
      <c r="N659" s="15"/>
      <c r="Q659" s="11"/>
    </row>
    <row r="660" spans="4:17">
      <c r="D660" s="15"/>
      <c r="F660" s="11"/>
      <c r="N660" s="15"/>
      <c r="Q660" s="11"/>
    </row>
    <row r="661" spans="4:17">
      <c r="D661" s="15"/>
      <c r="F661" s="11"/>
      <c r="N661" s="15"/>
      <c r="Q661" s="11"/>
    </row>
    <row r="662" spans="4:17">
      <c r="D662" s="15"/>
      <c r="F662" s="11"/>
      <c r="N662" s="15"/>
      <c r="Q662" s="11"/>
    </row>
    <row r="663" spans="4:17">
      <c r="D663" s="15"/>
      <c r="F663" s="11"/>
      <c r="N663" s="15"/>
      <c r="Q663" s="11"/>
    </row>
    <row r="664" spans="4:17">
      <c r="D664" s="15"/>
      <c r="F664" s="11"/>
      <c r="N664" s="15"/>
      <c r="Q664" s="11"/>
    </row>
    <row r="665" spans="4:17">
      <c r="D665" s="15"/>
      <c r="F665" s="11"/>
      <c r="N665" s="15"/>
      <c r="Q665" s="11"/>
    </row>
    <row r="666" spans="4:17">
      <c r="D666" s="15"/>
      <c r="F666" s="11"/>
      <c r="N666" s="15"/>
      <c r="Q666" s="11"/>
    </row>
    <row r="667" spans="4:17">
      <c r="D667" s="15"/>
      <c r="F667" s="11"/>
      <c r="N667" s="15"/>
      <c r="Q667" s="11"/>
    </row>
    <row r="668" spans="4:17">
      <c r="D668" s="15"/>
      <c r="F668" s="11"/>
      <c r="N668" s="15"/>
      <c r="Q668" s="11"/>
    </row>
    <row r="669" spans="4:17">
      <c r="D669" s="15"/>
      <c r="F669" s="11"/>
      <c r="N669" s="15"/>
      <c r="Q669" s="11"/>
    </row>
    <row r="670" spans="4:17">
      <c r="D670" s="15"/>
      <c r="F670" s="11"/>
      <c r="N670" s="15"/>
      <c r="Q670" s="11"/>
    </row>
    <row r="671" spans="4:17">
      <c r="D671" s="15"/>
      <c r="F671" s="11"/>
      <c r="N671" s="15"/>
      <c r="Q671" s="11"/>
    </row>
    <row r="672" spans="4:17">
      <c r="D672" s="15"/>
      <c r="F672" s="11"/>
      <c r="N672" s="15"/>
      <c r="Q672" s="11"/>
    </row>
    <row r="673" spans="4:17">
      <c r="D673" s="15"/>
      <c r="F673" s="11"/>
      <c r="N673" s="15"/>
      <c r="Q673" s="11"/>
    </row>
    <row r="674" spans="4:17">
      <c r="D674" s="15"/>
      <c r="F674" s="11"/>
      <c r="N674" s="15"/>
      <c r="Q674" s="11"/>
    </row>
    <row r="675" spans="4:17">
      <c r="D675" s="15"/>
      <c r="F675" s="11"/>
      <c r="N675" s="15"/>
      <c r="Q675" s="11"/>
    </row>
    <row r="676" spans="4:17">
      <c r="D676" s="15"/>
      <c r="F676" s="11"/>
      <c r="N676" s="15"/>
      <c r="Q676" s="11"/>
    </row>
    <row r="677" spans="4:17">
      <c r="D677" s="15"/>
      <c r="F677" s="11"/>
      <c r="N677" s="15"/>
      <c r="Q677" s="11"/>
    </row>
    <row r="678" spans="4:17">
      <c r="D678" s="15"/>
      <c r="F678" s="11"/>
      <c r="N678" s="15"/>
      <c r="Q678" s="11"/>
    </row>
    <row r="679" spans="4:17">
      <c r="D679" s="15"/>
      <c r="F679" s="11"/>
      <c r="N679" s="15"/>
      <c r="Q679" s="11"/>
    </row>
    <row r="680" spans="4:17">
      <c r="D680" s="15"/>
      <c r="F680" s="11"/>
      <c r="N680" s="15"/>
      <c r="Q680" s="11"/>
    </row>
    <row r="681" spans="4:17">
      <c r="D681" s="15"/>
      <c r="F681" s="11"/>
      <c r="N681" s="15"/>
      <c r="Q681" s="11"/>
    </row>
    <row r="682" spans="4:17">
      <c r="D682" s="15"/>
      <c r="F682" s="11"/>
      <c r="N682" s="15"/>
      <c r="Q682" s="11"/>
    </row>
    <row r="683" spans="4:17">
      <c r="D683" s="15"/>
      <c r="F683" s="11"/>
      <c r="N683" s="15"/>
      <c r="Q683" s="11"/>
    </row>
    <row r="684" spans="4:17">
      <c r="D684" s="15"/>
      <c r="F684" s="11"/>
      <c r="N684" s="15"/>
      <c r="Q684" s="11"/>
    </row>
    <row r="685" spans="4:17">
      <c r="D685" s="15"/>
      <c r="F685" s="11"/>
      <c r="N685" s="15"/>
      <c r="Q685" s="11"/>
    </row>
    <row r="686" spans="4:17">
      <c r="D686" s="15"/>
      <c r="F686" s="11"/>
      <c r="N686" s="15"/>
      <c r="Q686" s="11"/>
    </row>
    <row r="687" spans="4:17">
      <c r="D687" s="15"/>
      <c r="F687" s="11"/>
      <c r="N687" s="15"/>
      <c r="Q687" s="11"/>
    </row>
    <row r="688" spans="4:17">
      <c r="D688" s="15"/>
      <c r="F688" s="11"/>
      <c r="N688" s="15"/>
      <c r="Q688" s="11"/>
    </row>
    <row r="689" spans="4:17">
      <c r="D689" s="15"/>
      <c r="F689" s="11"/>
      <c r="N689" s="15"/>
      <c r="Q689" s="11"/>
    </row>
    <row r="690" spans="4:17">
      <c r="D690" s="15"/>
      <c r="F690" s="11"/>
      <c r="N690" s="15"/>
      <c r="Q690" s="11"/>
    </row>
    <row r="691" spans="4:17">
      <c r="D691" s="15"/>
      <c r="F691" s="11"/>
      <c r="N691" s="15"/>
      <c r="Q691" s="11"/>
    </row>
    <row r="692" spans="4:17">
      <c r="D692" s="15"/>
      <c r="F692" s="11"/>
      <c r="N692" s="15"/>
      <c r="Q692" s="11"/>
    </row>
    <row r="693" spans="4:17">
      <c r="D693" s="15"/>
      <c r="F693" s="11"/>
      <c r="N693" s="15"/>
      <c r="Q693" s="11"/>
    </row>
    <row r="694" spans="4:17">
      <c r="D694" s="15"/>
      <c r="F694" s="11"/>
      <c r="N694" s="15"/>
      <c r="Q694" s="11"/>
    </row>
    <row r="695" spans="4:17">
      <c r="D695" s="15"/>
      <c r="F695" s="11"/>
      <c r="N695" s="15"/>
      <c r="Q695" s="11"/>
    </row>
    <row r="696" spans="4:17">
      <c r="D696" s="15"/>
      <c r="F696" s="11"/>
      <c r="N696" s="15"/>
      <c r="Q696" s="11"/>
    </row>
    <row r="697" spans="4:17">
      <c r="D697" s="15"/>
      <c r="F697" s="11"/>
      <c r="N697" s="15"/>
      <c r="Q697" s="11"/>
    </row>
    <row r="698" spans="4:17">
      <c r="D698" s="15"/>
      <c r="F698" s="11"/>
      <c r="N698" s="15"/>
      <c r="Q698" s="11"/>
    </row>
    <row r="699" spans="4:17">
      <c r="D699" s="15"/>
      <c r="F699" s="11"/>
      <c r="N699" s="15"/>
      <c r="Q699" s="11"/>
    </row>
    <row r="700" spans="4:17">
      <c r="D700" s="15"/>
      <c r="F700" s="11"/>
      <c r="N700" s="15"/>
      <c r="Q700" s="11"/>
    </row>
    <row r="701" spans="4:17">
      <c r="D701" s="15"/>
      <c r="F701" s="11"/>
      <c r="N701" s="15"/>
      <c r="Q701" s="11"/>
    </row>
    <row r="702" spans="4:17">
      <c r="D702" s="15"/>
      <c r="F702" s="11"/>
      <c r="N702" s="15"/>
      <c r="Q702" s="11"/>
    </row>
    <row r="703" spans="4:17">
      <c r="D703" s="15"/>
      <c r="F703" s="11"/>
      <c r="N703" s="15"/>
      <c r="Q703" s="11"/>
    </row>
    <row r="704" spans="4:17">
      <c r="D704" s="15"/>
      <c r="F704" s="11"/>
      <c r="N704" s="15"/>
      <c r="Q704" s="11"/>
    </row>
    <row r="705" spans="4:17">
      <c r="D705" s="15"/>
      <c r="F705" s="11"/>
      <c r="N705" s="15"/>
      <c r="Q705" s="11"/>
    </row>
    <row r="706" spans="4:17">
      <c r="D706" s="15"/>
      <c r="F706" s="11"/>
      <c r="N706" s="15"/>
      <c r="Q706" s="11"/>
    </row>
    <row r="707" spans="4:17">
      <c r="D707" s="15"/>
      <c r="F707" s="11"/>
      <c r="N707" s="15"/>
      <c r="Q707" s="11"/>
    </row>
    <row r="708" spans="4:17">
      <c r="D708" s="15"/>
      <c r="F708" s="11"/>
      <c r="N708" s="15"/>
      <c r="Q708" s="11"/>
    </row>
    <row r="709" spans="4:17">
      <c r="D709" s="15"/>
      <c r="F709" s="11"/>
      <c r="N709" s="15"/>
      <c r="Q709" s="11"/>
    </row>
    <row r="710" spans="4:17">
      <c r="D710" s="15"/>
      <c r="F710" s="11"/>
      <c r="N710" s="15"/>
      <c r="Q710" s="11"/>
    </row>
    <row r="711" spans="4:17">
      <c r="D711" s="15"/>
      <c r="F711" s="11"/>
      <c r="N711" s="15"/>
      <c r="Q711" s="11"/>
    </row>
    <row r="712" spans="4:17">
      <c r="D712" s="15"/>
      <c r="F712" s="11"/>
      <c r="N712" s="15"/>
      <c r="Q712" s="11"/>
    </row>
    <row r="713" spans="4:17">
      <c r="D713" s="15"/>
      <c r="F713" s="11"/>
      <c r="N713" s="15"/>
      <c r="Q713" s="11"/>
    </row>
    <row r="714" spans="4:17">
      <c r="D714" s="15"/>
      <c r="F714" s="11"/>
      <c r="N714" s="15"/>
      <c r="Q714" s="11"/>
    </row>
    <row r="715" spans="4:17">
      <c r="D715" s="15"/>
      <c r="F715" s="11"/>
      <c r="N715" s="15"/>
      <c r="Q715" s="11"/>
    </row>
    <row r="716" spans="4:17">
      <c r="D716" s="15"/>
      <c r="F716" s="11"/>
      <c r="N716" s="15"/>
      <c r="Q716" s="11"/>
    </row>
    <row r="717" spans="4:17">
      <c r="D717" s="15"/>
      <c r="F717" s="11"/>
      <c r="N717" s="15"/>
      <c r="Q717" s="11"/>
    </row>
    <row r="718" spans="4:17">
      <c r="D718" s="15"/>
      <c r="F718" s="11"/>
      <c r="N718" s="15"/>
      <c r="Q718" s="11"/>
    </row>
    <row r="719" spans="4:17">
      <c r="D719" s="15"/>
      <c r="F719" s="11"/>
      <c r="N719" s="15"/>
      <c r="Q719" s="11"/>
    </row>
    <row r="720" spans="4:17">
      <c r="D720" s="15"/>
      <c r="F720" s="11"/>
      <c r="N720" s="15"/>
      <c r="Q720" s="11"/>
    </row>
    <row r="721" spans="4:17">
      <c r="D721" s="15"/>
      <c r="F721" s="11"/>
      <c r="N721" s="15"/>
      <c r="Q721" s="11"/>
    </row>
    <row r="722" spans="4:17">
      <c r="D722" s="15"/>
      <c r="F722" s="11"/>
      <c r="N722" s="15"/>
      <c r="Q722" s="11"/>
    </row>
    <row r="723" spans="4:17">
      <c r="D723" s="15"/>
      <c r="F723" s="11"/>
      <c r="N723" s="15"/>
      <c r="Q723" s="11"/>
    </row>
    <row r="724" spans="4:17">
      <c r="D724" s="15"/>
      <c r="F724" s="11"/>
      <c r="N724" s="15"/>
      <c r="Q724" s="11"/>
    </row>
    <row r="725" spans="4:17">
      <c r="D725" s="15"/>
      <c r="F725" s="11"/>
      <c r="N725" s="15"/>
      <c r="Q725" s="11"/>
    </row>
    <row r="726" spans="4:17">
      <c r="D726" s="15"/>
      <c r="F726" s="11"/>
      <c r="N726" s="15"/>
      <c r="Q726" s="11"/>
    </row>
    <row r="727" spans="4:17">
      <c r="D727" s="15"/>
      <c r="F727" s="11"/>
      <c r="N727" s="15"/>
      <c r="Q727" s="11"/>
    </row>
    <row r="728" spans="4:17">
      <c r="D728" s="15"/>
      <c r="F728" s="11"/>
      <c r="N728" s="15"/>
      <c r="Q728" s="11"/>
    </row>
    <row r="729" spans="4:17">
      <c r="D729" s="15"/>
      <c r="F729" s="11"/>
      <c r="N729" s="15"/>
      <c r="Q729" s="11"/>
    </row>
    <row r="730" spans="4:17">
      <c r="D730" s="15"/>
      <c r="F730" s="11"/>
      <c r="N730" s="15"/>
      <c r="Q730" s="11"/>
    </row>
    <row r="731" spans="4:17">
      <c r="D731" s="15"/>
      <c r="F731" s="11"/>
      <c r="N731" s="15"/>
      <c r="Q731" s="11"/>
    </row>
    <row r="732" spans="4:17">
      <c r="D732" s="15"/>
      <c r="F732" s="11"/>
      <c r="N732" s="15"/>
      <c r="Q732" s="11"/>
    </row>
    <row r="733" spans="4:17">
      <c r="D733" s="15"/>
      <c r="F733" s="11"/>
      <c r="N733" s="15"/>
      <c r="Q733" s="11"/>
    </row>
    <row r="734" spans="4:17">
      <c r="D734" s="15"/>
      <c r="F734" s="11"/>
      <c r="N734" s="15"/>
      <c r="Q734" s="11"/>
    </row>
    <row r="735" spans="4:17">
      <c r="D735" s="15"/>
      <c r="F735" s="11"/>
      <c r="N735" s="15"/>
      <c r="Q735" s="11"/>
    </row>
    <row r="736" spans="4:17">
      <c r="D736" s="15"/>
      <c r="F736" s="11"/>
      <c r="N736" s="15"/>
      <c r="Q736" s="11"/>
    </row>
    <row r="737" spans="4:17">
      <c r="D737" s="15"/>
      <c r="F737" s="11"/>
      <c r="N737" s="15"/>
      <c r="Q737" s="11"/>
    </row>
    <row r="738" spans="4:17">
      <c r="D738" s="15"/>
      <c r="F738" s="11"/>
      <c r="N738" s="15"/>
      <c r="Q738" s="11"/>
    </row>
    <row r="739" spans="4:17">
      <c r="D739" s="15"/>
      <c r="F739" s="11"/>
      <c r="N739" s="15"/>
      <c r="Q739" s="11"/>
    </row>
    <row r="740" spans="4:17">
      <c r="D740" s="15"/>
      <c r="F740" s="11"/>
      <c r="N740" s="15"/>
      <c r="Q740" s="11"/>
    </row>
    <row r="741" spans="4:17">
      <c r="D741" s="15"/>
      <c r="F741" s="11"/>
      <c r="N741" s="15"/>
      <c r="Q741" s="11"/>
    </row>
    <row r="742" spans="4:17">
      <c r="D742" s="15"/>
      <c r="F742" s="11"/>
      <c r="N742" s="15"/>
      <c r="Q742" s="11"/>
    </row>
    <row r="743" spans="4:17">
      <c r="D743" s="15"/>
      <c r="F743" s="11"/>
      <c r="N743" s="15"/>
      <c r="Q743" s="11"/>
    </row>
    <row r="744" spans="4:17">
      <c r="D744" s="15"/>
      <c r="F744" s="11"/>
      <c r="N744" s="15"/>
      <c r="Q744" s="11"/>
    </row>
    <row r="745" spans="4:17">
      <c r="D745" s="15"/>
      <c r="F745" s="11"/>
      <c r="N745" s="15"/>
      <c r="Q745" s="11"/>
    </row>
    <row r="746" spans="4:17">
      <c r="D746" s="15"/>
      <c r="F746" s="11"/>
      <c r="N746" s="15"/>
      <c r="Q746" s="11"/>
    </row>
    <row r="747" spans="4:17">
      <c r="D747" s="15"/>
      <c r="F747" s="11"/>
      <c r="N747" s="15"/>
      <c r="Q747" s="11"/>
    </row>
    <row r="748" spans="4:17">
      <c r="D748" s="15"/>
      <c r="F748" s="11"/>
      <c r="N748" s="15"/>
      <c r="Q748" s="11"/>
    </row>
    <row r="749" spans="4:17">
      <c r="D749" s="15"/>
      <c r="F749" s="11"/>
      <c r="N749" s="15"/>
      <c r="Q749" s="11"/>
    </row>
    <row r="750" spans="4:17">
      <c r="D750" s="15"/>
      <c r="F750" s="11"/>
      <c r="N750" s="15"/>
      <c r="Q750" s="11"/>
    </row>
    <row r="751" spans="4:17">
      <c r="D751" s="15"/>
      <c r="F751" s="11"/>
      <c r="N751" s="15"/>
      <c r="Q751" s="11"/>
    </row>
    <row r="752" spans="4:17">
      <c r="D752" s="15"/>
      <c r="F752" s="11"/>
      <c r="N752" s="15"/>
      <c r="Q752" s="11"/>
    </row>
    <row r="753" spans="4:17">
      <c r="D753" s="15"/>
      <c r="F753" s="11"/>
      <c r="N753" s="15"/>
      <c r="Q753" s="11"/>
    </row>
    <row r="754" spans="4:17">
      <c r="D754" s="15"/>
      <c r="F754" s="11"/>
      <c r="N754" s="15"/>
      <c r="Q754" s="11"/>
    </row>
    <row r="755" spans="4:17">
      <c r="D755" s="15"/>
      <c r="F755" s="11"/>
      <c r="N755" s="15"/>
      <c r="Q755" s="11"/>
    </row>
    <row r="756" spans="4:17">
      <c r="D756" s="15"/>
      <c r="F756" s="11"/>
      <c r="N756" s="15"/>
      <c r="Q756" s="11"/>
    </row>
    <row r="757" spans="4:17">
      <c r="D757" s="15"/>
      <c r="F757" s="11"/>
      <c r="N757" s="15"/>
      <c r="Q757" s="11"/>
    </row>
    <row r="758" spans="4:17">
      <c r="D758" s="15"/>
      <c r="F758" s="11"/>
      <c r="N758" s="15"/>
      <c r="Q758" s="11"/>
    </row>
    <row r="759" spans="4:17">
      <c r="D759" s="15"/>
      <c r="F759" s="11"/>
      <c r="N759" s="15"/>
      <c r="Q759" s="11"/>
    </row>
    <row r="760" spans="4:17">
      <c r="D760" s="15"/>
      <c r="F760" s="11"/>
      <c r="N760" s="15"/>
      <c r="Q760" s="11"/>
    </row>
    <row r="761" spans="4:17">
      <c r="D761" s="15"/>
      <c r="F761" s="11"/>
      <c r="N761" s="15"/>
      <c r="Q761" s="11"/>
    </row>
    <row r="762" spans="4:17">
      <c r="D762" s="15"/>
      <c r="F762" s="11"/>
      <c r="N762" s="15"/>
      <c r="Q762" s="11"/>
    </row>
    <row r="763" spans="4:17">
      <c r="D763" s="15"/>
      <c r="F763" s="11"/>
      <c r="N763" s="15"/>
      <c r="Q763" s="11"/>
    </row>
    <row r="764" spans="4:17">
      <c r="D764" s="15"/>
      <c r="F764" s="11"/>
      <c r="N764" s="15"/>
      <c r="Q764" s="11"/>
    </row>
    <row r="765" spans="4:17">
      <c r="D765" s="15"/>
      <c r="F765" s="11"/>
      <c r="N765" s="15"/>
      <c r="Q765" s="11"/>
    </row>
    <row r="766" spans="4:17">
      <c r="D766" s="15"/>
      <c r="F766" s="11"/>
      <c r="N766" s="15"/>
      <c r="Q766" s="11"/>
    </row>
    <row r="767" spans="4:17">
      <c r="D767" s="15"/>
      <c r="F767" s="11"/>
      <c r="N767" s="15"/>
      <c r="Q767" s="11"/>
    </row>
    <row r="768" spans="4:17">
      <c r="D768" s="15"/>
      <c r="F768" s="11"/>
      <c r="N768" s="15"/>
      <c r="Q768" s="11"/>
    </row>
    <row r="769" spans="4:17">
      <c r="D769" s="15"/>
      <c r="F769" s="11"/>
      <c r="N769" s="15"/>
      <c r="Q769" s="11"/>
    </row>
    <row r="770" spans="4:17">
      <c r="D770" s="15"/>
      <c r="F770" s="11"/>
      <c r="N770" s="15"/>
      <c r="Q770" s="11"/>
    </row>
    <row r="771" spans="4:17">
      <c r="D771" s="15"/>
      <c r="F771" s="11"/>
      <c r="N771" s="15"/>
      <c r="Q771" s="11"/>
    </row>
    <row r="772" spans="4:17">
      <c r="D772" s="15"/>
      <c r="F772" s="11"/>
      <c r="N772" s="15"/>
      <c r="Q772" s="11"/>
    </row>
    <row r="773" spans="4:17">
      <c r="D773" s="15"/>
      <c r="F773" s="11"/>
      <c r="N773" s="15"/>
      <c r="Q773" s="11"/>
    </row>
    <row r="774" spans="4:17">
      <c r="D774" s="15"/>
      <c r="F774" s="11"/>
      <c r="N774" s="15"/>
      <c r="Q774" s="11"/>
    </row>
    <row r="775" spans="4:17">
      <c r="D775" s="15"/>
      <c r="F775" s="11"/>
      <c r="N775" s="15"/>
      <c r="Q775" s="11"/>
    </row>
    <row r="776" spans="4:17">
      <c r="D776" s="15"/>
      <c r="F776" s="11"/>
      <c r="N776" s="15"/>
      <c r="Q776" s="11"/>
    </row>
    <row r="777" spans="4:17">
      <c r="D777" s="15"/>
      <c r="F777" s="11"/>
      <c r="N777" s="15"/>
      <c r="Q777" s="11"/>
    </row>
    <row r="778" spans="4:17">
      <c r="D778" s="15"/>
      <c r="F778" s="11"/>
      <c r="N778" s="15"/>
      <c r="Q778" s="11"/>
    </row>
    <row r="779" spans="4:17">
      <c r="D779" s="15"/>
      <c r="F779" s="11"/>
      <c r="N779" s="15"/>
      <c r="Q779" s="11"/>
    </row>
    <row r="780" spans="4:17">
      <c r="D780" s="15"/>
      <c r="F780" s="11"/>
      <c r="N780" s="15"/>
      <c r="Q780" s="11"/>
    </row>
    <row r="781" spans="4:17">
      <c r="D781" s="15"/>
      <c r="F781" s="11"/>
      <c r="N781" s="15"/>
      <c r="Q781" s="11"/>
    </row>
    <row r="782" spans="4:17">
      <c r="D782" s="15"/>
      <c r="F782" s="11"/>
      <c r="N782" s="15"/>
      <c r="Q782" s="11"/>
    </row>
    <row r="783" spans="4:17">
      <c r="D783" s="15"/>
      <c r="F783" s="11"/>
      <c r="N783" s="15"/>
      <c r="Q783" s="11"/>
    </row>
    <row r="784" spans="4:17">
      <c r="D784" s="15"/>
      <c r="F784" s="11"/>
      <c r="N784" s="15"/>
      <c r="Q784" s="11"/>
    </row>
    <row r="785" spans="4:17">
      <c r="D785" s="15"/>
      <c r="F785" s="11"/>
      <c r="N785" s="15"/>
      <c r="Q785" s="11"/>
    </row>
    <row r="786" spans="4:17">
      <c r="D786" s="15"/>
      <c r="F786" s="11"/>
      <c r="N786" s="15"/>
      <c r="Q786" s="11"/>
    </row>
    <row r="787" spans="4:17">
      <c r="D787" s="15"/>
      <c r="F787" s="11"/>
      <c r="N787" s="15"/>
      <c r="Q787" s="11"/>
    </row>
    <row r="788" spans="4:17">
      <c r="D788" s="15"/>
      <c r="F788" s="11"/>
      <c r="N788" s="15"/>
      <c r="Q788" s="11"/>
    </row>
    <row r="789" spans="4:17">
      <c r="D789" s="15"/>
      <c r="F789" s="11"/>
      <c r="N789" s="15"/>
      <c r="Q789" s="11"/>
    </row>
    <row r="790" spans="4:17">
      <c r="D790" s="15"/>
      <c r="F790" s="11"/>
      <c r="N790" s="15"/>
      <c r="Q790" s="11"/>
    </row>
    <row r="791" spans="4:17">
      <c r="D791" s="15"/>
      <c r="F791" s="11"/>
      <c r="N791" s="15"/>
      <c r="Q791" s="11"/>
    </row>
    <row r="792" spans="4:17">
      <c r="D792" s="15"/>
      <c r="F792" s="11"/>
      <c r="N792" s="15"/>
      <c r="Q792" s="11"/>
    </row>
    <row r="793" spans="4:17">
      <c r="D793" s="15"/>
      <c r="F793" s="11"/>
      <c r="N793" s="15"/>
      <c r="Q793" s="11"/>
    </row>
    <row r="794" spans="4:17">
      <c r="D794" s="15"/>
      <c r="F794" s="11"/>
      <c r="N794" s="15"/>
      <c r="Q794" s="11"/>
    </row>
    <row r="795" spans="4:17">
      <c r="D795" s="15"/>
      <c r="F795" s="11"/>
      <c r="N795" s="15"/>
      <c r="Q795" s="11"/>
    </row>
    <row r="796" spans="4:17">
      <c r="D796" s="15"/>
      <c r="F796" s="11"/>
      <c r="N796" s="15"/>
      <c r="Q796" s="11"/>
    </row>
    <row r="797" spans="4:17">
      <c r="D797" s="15"/>
      <c r="F797" s="11"/>
      <c r="N797" s="15"/>
      <c r="Q797" s="11"/>
    </row>
    <row r="798" spans="4:17">
      <c r="D798" s="15"/>
      <c r="F798" s="11"/>
      <c r="N798" s="15"/>
      <c r="Q798" s="11"/>
    </row>
    <row r="799" spans="4:17">
      <c r="D799" s="15"/>
      <c r="F799" s="11"/>
      <c r="N799" s="15"/>
      <c r="Q799" s="11"/>
    </row>
    <row r="800" spans="4:17">
      <c r="D800" s="15"/>
      <c r="F800" s="11"/>
      <c r="N800" s="15"/>
      <c r="Q800" s="11"/>
    </row>
    <row r="801" spans="4:17">
      <c r="D801" s="15"/>
      <c r="F801" s="11"/>
      <c r="N801" s="15"/>
      <c r="Q801" s="11"/>
    </row>
    <row r="802" spans="4:17">
      <c r="D802" s="15"/>
      <c r="F802" s="11"/>
      <c r="N802" s="15"/>
      <c r="Q802" s="11"/>
    </row>
    <row r="803" spans="4:17">
      <c r="D803" s="15"/>
      <c r="F803" s="11"/>
      <c r="N803" s="15"/>
      <c r="Q803" s="11"/>
    </row>
    <row r="804" spans="4:17">
      <c r="D804" s="15"/>
      <c r="F804" s="11"/>
      <c r="N804" s="15"/>
      <c r="Q804" s="11"/>
    </row>
    <row r="805" spans="4:17">
      <c r="D805" s="15"/>
      <c r="F805" s="11"/>
      <c r="N805" s="15"/>
      <c r="Q805" s="11"/>
    </row>
    <row r="806" spans="4:17">
      <c r="D806" s="15"/>
      <c r="F806" s="11"/>
      <c r="N806" s="15"/>
      <c r="Q806" s="11"/>
    </row>
    <row r="807" spans="4:17">
      <c r="D807" s="15"/>
      <c r="F807" s="11"/>
      <c r="N807" s="15"/>
      <c r="Q807" s="11"/>
    </row>
    <row r="808" spans="4:17">
      <c r="D808" s="15"/>
      <c r="F808" s="11"/>
      <c r="N808" s="15"/>
      <c r="Q808" s="11"/>
    </row>
    <row r="809" spans="4:17">
      <c r="D809" s="15"/>
      <c r="F809" s="11"/>
      <c r="N809" s="15"/>
      <c r="Q809" s="11"/>
    </row>
    <row r="810" spans="4:17">
      <c r="D810" s="15"/>
      <c r="F810" s="11"/>
      <c r="N810" s="15"/>
      <c r="Q810" s="11"/>
    </row>
    <row r="811" spans="4:17">
      <c r="D811" s="15"/>
      <c r="F811" s="11"/>
      <c r="N811" s="15"/>
      <c r="Q811" s="11"/>
    </row>
    <row r="812" spans="4:17">
      <c r="D812" s="15"/>
      <c r="F812" s="11"/>
      <c r="N812" s="15"/>
      <c r="Q812" s="11"/>
    </row>
    <row r="813" spans="4:17">
      <c r="D813" s="15"/>
      <c r="F813" s="11"/>
      <c r="N813" s="15"/>
      <c r="Q813" s="11"/>
    </row>
    <row r="814" spans="4:17">
      <c r="D814" s="15"/>
      <c r="F814" s="11"/>
      <c r="N814" s="15"/>
      <c r="Q814" s="11"/>
    </row>
    <row r="815" spans="4:17">
      <c r="D815" s="15"/>
      <c r="F815" s="11"/>
      <c r="N815" s="15"/>
      <c r="Q815" s="11"/>
    </row>
    <row r="816" spans="4:17">
      <c r="D816" s="15"/>
      <c r="F816" s="11"/>
      <c r="N816" s="15"/>
      <c r="Q816" s="11"/>
    </row>
    <row r="817" spans="4:17">
      <c r="D817" s="15"/>
      <c r="F817" s="11"/>
      <c r="N817" s="15"/>
      <c r="Q817" s="11"/>
    </row>
    <row r="818" spans="4:17">
      <c r="D818" s="15"/>
      <c r="F818" s="11"/>
      <c r="N818" s="15"/>
      <c r="Q818" s="11"/>
    </row>
    <row r="819" spans="4:17">
      <c r="D819" s="15"/>
      <c r="F819" s="11"/>
      <c r="N819" s="15"/>
      <c r="Q819" s="11"/>
    </row>
    <row r="820" spans="4:17">
      <c r="D820" s="15"/>
      <c r="F820" s="11"/>
      <c r="N820" s="15"/>
      <c r="Q820" s="11"/>
    </row>
    <row r="821" spans="4:17">
      <c r="D821" s="15"/>
      <c r="F821" s="11"/>
      <c r="N821" s="15"/>
      <c r="Q821" s="11"/>
    </row>
    <row r="822" spans="4:17">
      <c r="D822" s="15"/>
      <c r="F822" s="11"/>
      <c r="N822" s="15"/>
      <c r="Q822" s="11"/>
    </row>
    <row r="823" spans="4:17">
      <c r="D823" s="15"/>
      <c r="F823" s="11"/>
      <c r="N823" s="15"/>
      <c r="Q823" s="11"/>
    </row>
    <row r="824" spans="4:17">
      <c r="D824" s="15"/>
      <c r="F824" s="11"/>
      <c r="N824" s="15"/>
      <c r="Q824" s="11"/>
    </row>
    <row r="825" spans="4:17">
      <c r="D825" s="15"/>
      <c r="F825" s="11"/>
      <c r="N825" s="15"/>
      <c r="Q825" s="11"/>
    </row>
    <row r="826" spans="4:17">
      <c r="D826" s="15"/>
      <c r="F826" s="11"/>
      <c r="N826" s="15"/>
      <c r="Q826" s="11"/>
    </row>
    <row r="827" spans="4:17">
      <c r="D827" s="15"/>
      <c r="F827" s="11"/>
      <c r="N827" s="15"/>
      <c r="Q827" s="11"/>
    </row>
    <row r="828" spans="4:17">
      <c r="D828" s="15"/>
      <c r="F828" s="11"/>
      <c r="N828" s="15"/>
      <c r="Q828" s="11"/>
    </row>
    <row r="829" spans="4:17">
      <c r="D829" s="15"/>
      <c r="F829" s="11"/>
      <c r="N829" s="15"/>
      <c r="Q829" s="11"/>
    </row>
    <row r="830" spans="4:17">
      <c r="D830" s="15"/>
      <c r="F830" s="11"/>
      <c r="N830" s="15"/>
      <c r="Q830" s="11"/>
    </row>
    <row r="831" spans="4:17">
      <c r="D831" s="15"/>
      <c r="F831" s="11"/>
      <c r="N831" s="15"/>
      <c r="Q831" s="11"/>
    </row>
    <row r="832" spans="4:17">
      <c r="D832" s="15"/>
      <c r="F832" s="11"/>
      <c r="N832" s="15"/>
      <c r="Q832" s="11"/>
    </row>
    <row r="833" spans="4:17">
      <c r="D833" s="15"/>
      <c r="F833" s="11"/>
      <c r="N833" s="15"/>
      <c r="Q833" s="11"/>
    </row>
    <row r="834" spans="4:17">
      <c r="D834" s="15"/>
      <c r="F834" s="11"/>
      <c r="N834" s="15"/>
      <c r="Q834" s="11"/>
    </row>
    <row r="835" spans="4:17">
      <c r="D835" s="15"/>
      <c r="F835" s="11"/>
      <c r="N835" s="15"/>
      <c r="Q835" s="11"/>
    </row>
    <row r="836" spans="4:17">
      <c r="D836" s="15"/>
      <c r="F836" s="11"/>
      <c r="N836" s="15"/>
      <c r="Q836" s="11"/>
    </row>
    <row r="837" spans="4:17">
      <c r="D837" s="15"/>
      <c r="F837" s="11"/>
      <c r="N837" s="15"/>
      <c r="Q837" s="11"/>
    </row>
    <row r="838" spans="4:17">
      <c r="D838" s="15"/>
      <c r="F838" s="11"/>
      <c r="N838" s="15"/>
      <c r="Q838" s="11"/>
    </row>
    <row r="839" spans="4:17">
      <c r="D839" s="15"/>
      <c r="F839" s="11"/>
      <c r="N839" s="15"/>
      <c r="Q839" s="11"/>
    </row>
    <row r="840" spans="4:17">
      <c r="D840" s="15"/>
      <c r="F840" s="11"/>
      <c r="N840" s="15"/>
      <c r="Q840" s="11"/>
    </row>
    <row r="841" spans="4:17">
      <c r="D841" s="15"/>
      <c r="F841" s="11"/>
      <c r="N841" s="15"/>
      <c r="Q841" s="11"/>
    </row>
    <row r="842" spans="4:17">
      <c r="D842" s="15"/>
      <c r="F842" s="11"/>
      <c r="N842" s="15"/>
      <c r="Q842" s="11"/>
    </row>
    <row r="843" spans="4:17">
      <c r="D843" s="15"/>
      <c r="F843" s="11"/>
      <c r="N843" s="15"/>
      <c r="Q843" s="11"/>
    </row>
    <row r="844" spans="4:17">
      <c r="D844" s="15"/>
      <c r="F844" s="11"/>
      <c r="N844" s="15"/>
      <c r="Q844" s="11"/>
    </row>
    <row r="845" spans="4:17">
      <c r="D845" s="15"/>
      <c r="F845" s="11"/>
      <c r="N845" s="15"/>
      <c r="Q845" s="11"/>
    </row>
    <row r="846" spans="4:17">
      <c r="D846" s="15"/>
      <c r="F846" s="11"/>
      <c r="N846" s="15"/>
      <c r="Q846" s="11"/>
    </row>
    <row r="847" spans="4:17">
      <c r="D847" s="15"/>
      <c r="F847" s="11"/>
      <c r="N847" s="15"/>
      <c r="Q847" s="11"/>
    </row>
    <row r="848" spans="4:17">
      <c r="D848" s="15"/>
      <c r="F848" s="11"/>
      <c r="N848" s="15"/>
      <c r="Q848" s="11"/>
    </row>
    <row r="849" spans="4:17">
      <c r="D849" s="15"/>
      <c r="F849" s="11"/>
      <c r="N849" s="15"/>
      <c r="Q849" s="11"/>
    </row>
    <row r="850" spans="4:17">
      <c r="D850" s="15"/>
      <c r="F850" s="11"/>
      <c r="N850" s="15"/>
      <c r="Q850" s="11"/>
    </row>
    <row r="851" spans="4:17">
      <c r="D851" s="15"/>
      <c r="F851" s="11"/>
      <c r="N851" s="15"/>
      <c r="Q851" s="11"/>
    </row>
    <row r="852" spans="4:17">
      <c r="D852" s="15"/>
      <c r="F852" s="11"/>
      <c r="N852" s="15"/>
      <c r="Q852" s="11"/>
    </row>
    <row r="853" spans="4:17">
      <c r="D853" s="15"/>
      <c r="F853" s="11"/>
      <c r="N853" s="15"/>
      <c r="Q853" s="11"/>
    </row>
    <row r="854" spans="4:17">
      <c r="D854" s="15"/>
      <c r="F854" s="11"/>
      <c r="N854" s="15"/>
      <c r="Q854" s="11"/>
    </row>
    <row r="855" spans="4:17">
      <c r="D855" s="15"/>
      <c r="F855" s="11"/>
      <c r="N855" s="15"/>
      <c r="Q855" s="11"/>
    </row>
    <row r="856" spans="4:17">
      <c r="D856" s="15"/>
      <c r="F856" s="11"/>
      <c r="N856" s="15"/>
      <c r="Q856" s="11"/>
    </row>
    <row r="857" spans="4:17">
      <c r="D857" s="15"/>
      <c r="F857" s="11"/>
      <c r="N857" s="15"/>
      <c r="Q857" s="11"/>
    </row>
    <row r="858" spans="4:17">
      <c r="D858" s="15"/>
      <c r="F858" s="11"/>
      <c r="N858" s="15"/>
      <c r="Q858" s="11"/>
    </row>
    <row r="859" spans="4:17">
      <c r="D859" s="15"/>
      <c r="F859" s="11"/>
      <c r="N859" s="15"/>
      <c r="Q859" s="11"/>
    </row>
    <row r="860" spans="4:17">
      <c r="D860" s="15"/>
      <c r="F860" s="11"/>
      <c r="N860" s="15"/>
      <c r="Q860" s="11"/>
    </row>
    <row r="861" spans="4:17">
      <c r="D861" s="15"/>
      <c r="F861" s="11"/>
      <c r="N861" s="15"/>
      <c r="Q861" s="11"/>
    </row>
    <row r="862" spans="4:17">
      <c r="D862" s="15"/>
      <c r="F862" s="11"/>
      <c r="N862" s="15"/>
      <c r="Q862" s="11"/>
    </row>
    <row r="863" spans="4:17">
      <c r="D863" s="15"/>
      <c r="F863" s="11"/>
      <c r="N863" s="15"/>
      <c r="Q863" s="11"/>
    </row>
    <row r="864" spans="4:17">
      <c r="D864" s="15"/>
      <c r="F864" s="11"/>
      <c r="N864" s="15"/>
      <c r="Q864" s="11"/>
    </row>
    <row r="865" spans="4:17">
      <c r="D865" s="15"/>
      <c r="F865" s="11"/>
      <c r="N865" s="15"/>
      <c r="Q865" s="11"/>
    </row>
    <row r="866" spans="4:17">
      <c r="D866" s="15"/>
      <c r="F866" s="11"/>
      <c r="N866" s="15"/>
      <c r="Q866" s="11"/>
    </row>
    <row r="867" spans="4:17">
      <c r="D867" s="15"/>
      <c r="F867" s="11"/>
      <c r="N867" s="15"/>
      <c r="Q867" s="11"/>
    </row>
    <row r="868" spans="4:17">
      <c r="D868" s="15"/>
      <c r="F868" s="11"/>
      <c r="N868" s="15"/>
      <c r="Q868" s="11"/>
    </row>
    <row r="869" spans="4:17">
      <c r="D869" s="15"/>
      <c r="F869" s="11"/>
      <c r="N869" s="15"/>
      <c r="Q869" s="11"/>
    </row>
    <row r="870" spans="4:17">
      <c r="D870" s="15"/>
      <c r="F870" s="11"/>
      <c r="N870" s="15"/>
      <c r="Q870" s="11"/>
    </row>
    <row r="871" spans="4:17">
      <c r="D871" s="15"/>
      <c r="F871" s="11"/>
      <c r="N871" s="15"/>
      <c r="Q871" s="11"/>
    </row>
    <row r="872" spans="4:17">
      <c r="D872" s="15"/>
      <c r="F872" s="11"/>
      <c r="N872" s="15"/>
      <c r="Q872" s="11"/>
    </row>
    <row r="873" spans="4:17">
      <c r="D873" s="15"/>
      <c r="F873" s="11"/>
      <c r="N873" s="15"/>
      <c r="Q873" s="11"/>
    </row>
    <row r="874" spans="4:17">
      <c r="D874" s="15"/>
      <c r="F874" s="11"/>
      <c r="N874" s="15"/>
      <c r="Q874" s="11"/>
    </row>
    <row r="875" spans="4:17">
      <c r="D875" s="15"/>
      <c r="F875" s="11"/>
      <c r="N875" s="15"/>
      <c r="Q875" s="11"/>
    </row>
    <row r="876" spans="4:17">
      <c r="D876" s="15"/>
      <c r="F876" s="11"/>
      <c r="N876" s="15"/>
      <c r="Q876" s="11"/>
    </row>
    <row r="877" spans="4:17">
      <c r="D877" s="15"/>
      <c r="F877" s="11"/>
      <c r="N877" s="15"/>
      <c r="Q877" s="11"/>
    </row>
    <row r="878" spans="4:17">
      <c r="D878" s="15"/>
      <c r="F878" s="11"/>
      <c r="N878" s="15"/>
      <c r="Q878" s="11"/>
    </row>
    <row r="879" spans="4:17">
      <c r="D879" s="15"/>
      <c r="F879" s="11"/>
      <c r="N879" s="15"/>
      <c r="Q879" s="11"/>
    </row>
    <row r="880" spans="4:17">
      <c r="D880" s="15"/>
      <c r="F880" s="11"/>
      <c r="N880" s="15"/>
      <c r="Q880" s="11"/>
    </row>
    <row r="881" spans="4:17">
      <c r="D881" s="15"/>
      <c r="F881" s="11"/>
      <c r="N881" s="15"/>
      <c r="Q881" s="11"/>
    </row>
    <row r="882" spans="4:17">
      <c r="D882" s="15"/>
      <c r="F882" s="11"/>
      <c r="N882" s="15"/>
      <c r="Q882" s="11"/>
    </row>
    <row r="883" spans="4:17">
      <c r="D883" s="15"/>
      <c r="F883" s="11"/>
      <c r="N883" s="15"/>
      <c r="Q883" s="11"/>
    </row>
    <row r="884" spans="4:17">
      <c r="D884" s="15"/>
      <c r="F884" s="11"/>
      <c r="N884" s="15"/>
      <c r="Q884" s="11"/>
    </row>
    <row r="885" spans="4:17">
      <c r="D885" s="15"/>
      <c r="F885" s="11"/>
      <c r="N885" s="15"/>
      <c r="Q885" s="11"/>
    </row>
    <row r="886" spans="4:17">
      <c r="D886" s="15"/>
      <c r="F886" s="11"/>
      <c r="N886" s="15"/>
      <c r="Q886" s="11"/>
    </row>
    <row r="887" spans="4:17">
      <c r="D887" s="15"/>
      <c r="F887" s="11"/>
      <c r="N887" s="15"/>
      <c r="Q887" s="11"/>
    </row>
    <row r="888" spans="4:17">
      <c r="D888" s="15"/>
      <c r="F888" s="11"/>
      <c r="N888" s="15"/>
      <c r="Q888" s="11"/>
    </row>
    <row r="889" spans="4:17">
      <c r="D889" s="15"/>
      <c r="F889" s="11"/>
      <c r="N889" s="15"/>
      <c r="Q889" s="11"/>
    </row>
    <row r="890" spans="4:17">
      <c r="D890" s="15"/>
      <c r="F890" s="11"/>
      <c r="N890" s="15"/>
      <c r="Q890" s="11"/>
    </row>
    <row r="891" spans="4:17">
      <c r="D891" s="15"/>
      <c r="F891" s="11"/>
      <c r="N891" s="15"/>
      <c r="Q891" s="11"/>
    </row>
    <row r="892" spans="4:17">
      <c r="D892" s="15"/>
      <c r="F892" s="11"/>
      <c r="N892" s="15"/>
      <c r="Q892" s="11"/>
    </row>
    <row r="893" spans="4:17">
      <c r="D893" s="15"/>
      <c r="F893" s="11"/>
      <c r="N893" s="15"/>
      <c r="Q893" s="11"/>
    </row>
    <row r="894" spans="4:17">
      <c r="D894" s="15"/>
      <c r="F894" s="11"/>
      <c r="N894" s="15"/>
      <c r="Q894" s="11"/>
    </row>
    <row r="895" spans="4:17">
      <c r="D895" s="15"/>
      <c r="F895" s="11"/>
      <c r="N895" s="15"/>
      <c r="Q895" s="11"/>
    </row>
    <row r="896" spans="4:17">
      <c r="D896" s="15"/>
      <c r="F896" s="11"/>
      <c r="N896" s="15"/>
      <c r="Q896" s="11"/>
    </row>
    <row r="897" spans="4:17">
      <c r="D897" s="15"/>
      <c r="F897" s="11"/>
      <c r="N897" s="15"/>
      <c r="Q897" s="11"/>
    </row>
    <row r="898" spans="4:17">
      <c r="D898" s="15"/>
      <c r="F898" s="11"/>
      <c r="N898" s="15"/>
      <c r="Q898" s="11"/>
    </row>
    <row r="899" spans="4:17">
      <c r="D899" s="15"/>
      <c r="F899" s="11"/>
      <c r="N899" s="15"/>
      <c r="Q899" s="11"/>
    </row>
    <row r="900" spans="4:17">
      <c r="D900" s="15"/>
      <c r="F900" s="11"/>
      <c r="N900" s="15"/>
      <c r="Q900" s="11"/>
    </row>
    <row r="901" spans="4:17">
      <c r="D901" s="15"/>
      <c r="F901" s="11"/>
      <c r="N901" s="15"/>
      <c r="Q901" s="11"/>
    </row>
    <row r="902" spans="4:17">
      <c r="D902" s="15"/>
      <c r="F902" s="11"/>
      <c r="N902" s="15"/>
      <c r="Q902" s="11"/>
    </row>
    <row r="903" spans="4:17">
      <c r="D903" s="15"/>
      <c r="F903" s="11"/>
      <c r="N903" s="15"/>
      <c r="Q903" s="11"/>
    </row>
    <row r="904" spans="4:17">
      <c r="D904" s="15"/>
      <c r="F904" s="11"/>
      <c r="N904" s="15"/>
      <c r="Q904" s="11"/>
    </row>
    <row r="905" spans="4:17">
      <c r="D905" s="15"/>
      <c r="F905" s="11"/>
      <c r="N905" s="15"/>
      <c r="Q905" s="11"/>
    </row>
    <row r="906" spans="4:17">
      <c r="D906" s="15"/>
      <c r="F906" s="11"/>
      <c r="N906" s="15"/>
      <c r="Q906" s="11"/>
    </row>
    <row r="907" spans="4:17">
      <c r="D907" s="15"/>
      <c r="F907" s="11"/>
      <c r="N907" s="15"/>
      <c r="Q907" s="11"/>
    </row>
    <row r="908" spans="4:17">
      <c r="D908" s="15"/>
      <c r="F908" s="11"/>
      <c r="N908" s="15"/>
      <c r="Q908" s="11"/>
    </row>
    <row r="909" spans="4:17">
      <c r="D909" s="15"/>
      <c r="F909" s="11"/>
      <c r="N909" s="15"/>
      <c r="Q909" s="11"/>
    </row>
    <row r="910" spans="4:17">
      <c r="D910" s="15"/>
      <c r="F910" s="11"/>
      <c r="N910" s="15"/>
      <c r="Q910" s="11"/>
    </row>
    <row r="911" spans="4:17">
      <c r="D911" s="15"/>
      <c r="F911" s="11"/>
      <c r="N911" s="15"/>
      <c r="Q911" s="11"/>
    </row>
    <row r="912" spans="4:17">
      <c r="D912" s="15"/>
      <c r="F912" s="11"/>
      <c r="N912" s="15"/>
      <c r="Q912" s="11"/>
    </row>
    <row r="913" spans="4:17">
      <c r="D913" s="15"/>
      <c r="F913" s="11"/>
      <c r="N913" s="15"/>
      <c r="Q913" s="11"/>
    </row>
    <row r="914" spans="4:17">
      <c r="D914" s="15"/>
      <c r="F914" s="11"/>
      <c r="N914" s="15"/>
      <c r="Q914" s="11"/>
    </row>
    <row r="915" spans="4:17">
      <c r="D915" s="15"/>
      <c r="F915" s="11"/>
      <c r="N915" s="15"/>
      <c r="Q915" s="11"/>
    </row>
    <row r="916" spans="4:17">
      <c r="D916" s="15"/>
      <c r="F916" s="11"/>
      <c r="N916" s="15"/>
      <c r="Q916" s="11"/>
    </row>
    <row r="917" spans="4:17">
      <c r="D917" s="15"/>
      <c r="F917" s="11"/>
      <c r="N917" s="15"/>
      <c r="Q917" s="11"/>
    </row>
    <row r="918" spans="4:17">
      <c r="D918" s="15"/>
      <c r="F918" s="11"/>
      <c r="N918" s="15"/>
      <c r="Q918" s="11"/>
    </row>
    <row r="919" spans="4:17">
      <c r="D919" s="15"/>
      <c r="F919" s="11"/>
      <c r="N919" s="15"/>
      <c r="Q919" s="11"/>
    </row>
    <row r="920" spans="4:17">
      <c r="D920" s="15"/>
      <c r="F920" s="11"/>
      <c r="N920" s="15"/>
      <c r="Q920" s="11"/>
    </row>
    <row r="921" spans="4:17">
      <c r="D921" s="15"/>
      <c r="F921" s="11"/>
      <c r="N921" s="15"/>
      <c r="Q921" s="11"/>
    </row>
    <row r="922" spans="4:17">
      <c r="D922" s="15"/>
      <c r="F922" s="11"/>
      <c r="N922" s="15"/>
      <c r="Q922" s="11"/>
    </row>
    <row r="923" spans="4:17">
      <c r="D923" s="15"/>
      <c r="F923" s="11"/>
      <c r="N923" s="15"/>
      <c r="Q923" s="11"/>
    </row>
    <row r="924" spans="4:17">
      <c r="D924" s="15"/>
      <c r="F924" s="11"/>
      <c r="N924" s="15"/>
      <c r="Q924" s="11"/>
    </row>
    <row r="925" spans="4:17">
      <c r="D925" s="15"/>
      <c r="F925" s="11"/>
      <c r="N925" s="15"/>
      <c r="Q925" s="11"/>
    </row>
    <row r="926" spans="4:17">
      <c r="D926" s="15"/>
      <c r="F926" s="11"/>
      <c r="Q926" s="11"/>
    </row>
    <row r="927" spans="4:17">
      <c r="D927" s="15"/>
      <c r="F927" s="11"/>
      <c r="Q927" s="11"/>
    </row>
    <row r="928" spans="4:17">
      <c r="D928" s="15"/>
      <c r="F928" s="11"/>
      <c r="Q928" s="11"/>
    </row>
    <row r="929" spans="4:17">
      <c r="D929" s="15"/>
      <c r="F929" s="11"/>
      <c r="Q929" s="11"/>
    </row>
    <row r="930" spans="4:17">
      <c r="D930" s="15"/>
      <c r="F930" s="11"/>
      <c r="Q930" s="11"/>
    </row>
    <row r="931" spans="4:17">
      <c r="D931" s="15"/>
      <c r="F931" s="11"/>
      <c r="Q931" s="11"/>
    </row>
    <row r="932" spans="4:17">
      <c r="D932" s="15"/>
      <c r="F932" s="11"/>
      <c r="Q932" s="11"/>
    </row>
    <row r="933" spans="4:17">
      <c r="D933" s="15"/>
      <c r="F933" s="11"/>
      <c r="Q933" s="11"/>
    </row>
    <row r="934" spans="4:17">
      <c r="D934" s="15"/>
      <c r="F934" s="11"/>
      <c r="Q934" s="11"/>
    </row>
    <row r="935" spans="4:17">
      <c r="D935" s="15"/>
      <c r="F935" s="11"/>
      <c r="Q935" s="11"/>
    </row>
    <row r="936" spans="4:17">
      <c r="D936" s="15"/>
      <c r="F936" s="11"/>
      <c r="Q936" s="11"/>
    </row>
    <row r="937" spans="4:17">
      <c r="D937" s="15"/>
      <c r="F937" s="11"/>
      <c r="Q937" s="11"/>
    </row>
    <row r="938" spans="4:17">
      <c r="D938" s="15"/>
      <c r="F938" s="11"/>
      <c r="Q938" s="11"/>
    </row>
    <row r="939" spans="4:17">
      <c r="D939" s="15"/>
      <c r="F939" s="11"/>
      <c r="Q939" s="11"/>
    </row>
    <row r="940" spans="4:17">
      <c r="D940" s="15"/>
      <c r="F940" s="11"/>
      <c r="Q940" s="11"/>
    </row>
    <row r="941" spans="4:17">
      <c r="D941" s="15"/>
      <c r="F941" s="11"/>
      <c r="Q941" s="11"/>
    </row>
    <row r="942" spans="4:17">
      <c r="D942" s="15"/>
      <c r="F942" s="11"/>
      <c r="Q942" s="11"/>
    </row>
    <row r="943" spans="4:17">
      <c r="D943" s="15"/>
      <c r="F943" s="11"/>
      <c r="Q943" s="11"/>
    </row>
    <row r="944" spans="4:17">
      <c r="D944" s="15"/>
      <c r="F944" s="11"/>
      <c r="Q944" s="11"/>
    </row>
    <row r="945" spans="4:17">
      <c r="D945" s="15"/>
      <c r="F945" s="11"/>
      <c r="Q945" s="11"/>
    </row>
    <row r="946" spans="4:17">
      <c r="D946" s="15"/>
      <c r="F946" s="11"/>
      <c r="Q946" s="11"/>
    </row>
    <row r="947" spans="4:17">
      <c r="D947" s="15"/>
      <c r="F947" s="11"/>
      <c r="Q947" s="11"/>
    </row>
    <row r="948" spans="4:17">
      <c r="D948" s="15"/>
      <c r="F948" s="11"/>
      <c r="Q948" s="11"/>
    </row>
    <row r="949" spans="4:17">
      <c r="D949" s="15"/>
      <c r="F949" s="11"/>
      <c r="Q949" s="11"/>
    </row>
    <row r="950" spans="4:17">
      <c r="D950" s="15"/>
      <c r="F950" s="11"/>
      <c r="Q950" s="11"/>
    </row>
    <row r="951" spans="4:17">
      <c r="D951" s="15"/>
      <c r="F951" s="11"/>
      <c r="Q951" s="11"/>
    </row>
    <row r="952" spans="4:17">
      <c r="D952" s="15"/>
      <c r="F952" s="11"/>
      <c r="Q952" s="11"/>
    </row>
    <row r="953" spans="4:17">
      <c r="D953" s="15"/>
      <c r="F953" s="11"/>
      <c r="Q953" s="11"/>
    </row>
    <row r="954" spans="4:17">
      <c r="D954" s="15"/>
      <c r="F954" s="11"/>
      <c r="Q954" s="11"/>
    </row>
    <row r="955" spans="4:17">
      <c r="D955" s="15"/>
      <c r="F955" s="11"/>
      <c r="Q955" s="11"/>
    </row>
    <row r="956" spans="4:17">
      <c r="D956" s="15"/>
      <c r="F956" s="11"/>
      <c r="Q956" s="11"/>
    </row>
    <row r="957" spans="4:17">
      <c r="D957" s="15"/>
      <c r="F957" s="11"/>
      <c r="Q957" s="11"/>
    </row>
    <row r="958" spans="4:17">
      <c r="D958" s="15"/>
      <c r="F958" s="11"/>
      <c r="Q958" s="11"/>
    </row>
    <row r="959" spans="4:17">
      <c r="D959" s="15"/>
      <c r="F959" s="11"/>
      <c r="Q959" s="11"/>
    </row>
    <row r="960" spans="4:17">
      <c r="D960" s="15"/>
      <c r="F960" s="11"/>
      <c r="Q960" s="11"/>
    </row>
    <row r="961" spans="4:17">
      <c r="D961" s="15"/>
      <c r="F961" s="11"/>
      <c r="Q961" s="11"/>
    </row>
    <row r="962" spans="4:17">
      <c r="D962" s="15"/>
      <c r="F962" s="11"/>
      <c r="Q962" s="11"/>
    </row>
    <row r="963" spans="4:17">
      <c r="D963" s="15"/>
      <c r="F963" s="11"/>
      <c r="Q963" s="11"/>
    </row>
    <row r="964" spans="4:17">
      <c r="D964" s="15"/>
      <c r="F964" s="11"/>
      <c r="Q964" s="11"/>
    </row>
    <row r="965" spans="4:17">
      <c r="D965" s="15"/>
      <c r="F965" s="11"/>
      <c r="Q965" s="11"/>
    </row>
    <row r="966" spans="4:17">
      <c r="D966" s="15"/>
      <c r="F966" s="11"/>
      <c r="Q966" s="11"/>
    </row>
    <row r="967" spans="4:17">
      <c r="D967" s="15"/>
      <c r="F967" s="11"/>
      <c r="Q967" s="11"/>
    </row>
    <row r="968" spans="4:17">
      <c r="D968" s="15"/>
      <c r="F968" s="11"/>
      <c r="Q968" s="11"/>
    </row>
    <row r="969" spans="4:17">
      <c r="D969" s="15"/>
      <c r="F969" s="11"/>
      <c r="Q969" s="11"/>
    </row>
    <row r="970" spans="4:17">
      <c r="D970" s="15"/>
      <c r="F970" s="11"/>
      <c r="Q970" s="11"/>
    </row>
    <row r="971" spans="4:17">
      <c r="D971" s="15"/>
      <c r="F971" s="11"/>
      <c r="Q971" s="11"/>
    </row>
    <row r="972" spans="4:17">
      <c r="D972" s="15"/>
      <c r="F972" s="11"/>
      <c r="Q972" s="11"/>
    </row>
    <row r="973" spans="4:17">
      <c r="D973" s="15"/>
      <c r="F973" s="11"/>
      <c r="Q973" s="11"/>
    </row>
    <row r="974" spans="4:17">
      <c r="D974" s="15"/>
      <c r="F974" s="11"/>
      <c r="Q974" s="11"/>
    </row>
    <row r="975" spans="4:17">
      <c r="D975" s="15"/>
      <c r="F975" s="11"/>
      <c r="Q975" s="11"/>
    </row>
    <row r="976" spans="4:17">
      <c r="D976" s="15"/>
      <c r="F976" s="11"/>
      <c r="Q976" s="11"/>
    </row>
    <row r="977" spans="4:17">
      <c r="D977" s="15"/>
      <c r="F977" s="11"/>
      <c r="Q977" s="11"/>
    </row>
    <row r="978" spans="4:17">
      <c r="D978" s="15"/>
      <c r="F978" s="11"/>
      <c r="Q978" s="11"/>
    </row>
    <row r="979" spans="4:17">
      <c r="D979" s="15"/>
      <c r="F979" s="11"/>
      <c r="Q979" s="11"/>
    </row>
    <row r="980" spans="4:17">
      <c r="D980" s="15"/>
      <c r="F980" s="11"/>
      <c r="Q980" s="11"/>
    </row>
    <row r="981" spans="4:17">
      <c r="D981" s="15"/>
      <c r="F981" s="11"/>
      <c r="Q981" s="11"/>
    </row>
    <row r="982" spans="4:17">
      <c r="D982" s="15"/>
      <c r="F982" s="11"/>
      <c r="Q982" s="11"/>
    </row>
    <row r="983" spans="4:17">
      <c r="D983" s="15"/>
      <c r="F983" s="11"/>
      <c r="Q983" s="11"/>
    </row>
    <row r="984" spans="4:17">
      <c r="D984" s="15"/>
      <c r="F984" s="11"/>
      <c r="Q984" s="11"/>
    </row>
    <row r="985" spans="4:17">
      <c r="D985" s="15"/>
      <c r="F985" s="11"/>
      <c r="Q985" s="11"/>
    </row>
    <row r="986" spans="4:17">
      <c r="D986" s="15"/>
      <c r="F986" s="11"/>
      <c r="Q986" s="11"/>
    </row>
    <row r="987" spans="4:17">
      <c r="D987" s="15"/>
      <c r="F987" s="11"/>
      <c r="Q987" s="11"/>
    </row>
    <row r="988" spans="4:17">
      <c r="D988" s="15"/>
      <c r="F988" s="11"/>
      <c r="Q988" s="11"/>
    </row>
    <row r="989" spans="4:17">
      <c r="D989" s="15"/>
      <c r="F989" s="11"/>
      <c r="Q989" s="11"/>
    </row>
    <row r="990" spans="4:17">
      <c r="D990" s="15"/>
      <c r="F990" s="11"/>
      <c r="Q990" s="11"/>
    </row>
    <row r="991" spans="4:17">
      <c r="D991" s="15"/>
      <c r="F991" s="11"/>
      <c r="Q991" s="11"/>
    </row>
    <row r="992" spans="4:17">
      <c r="D992" s="15"/>
      <c r="F992" s="11"/>
      <c r="Q992" s="11"/>
    </row>
    <row r="993" spans="4:17">
      <c r="D993" s="15"/>
      <c r="F993" s="11"/>
      <c r="Q993" s="11"/>
    </row>
    <row r="994" spans="4:17">
      <c r="D994" s="15"/>
      <c r="F994" s="11"/>
      <c r="Q994" s="11"/>
    </row>
    <row r="995" spans="4:17">
      <c r="D995" s="15"/>
      <c r="F995" s="11"/>
      <c r="Q995" s="11"/>
    </row>
    <row r="996" spans="4:17">
      <c r="D996" s="15"/>
      <c r="F996" s="11"/>
      <c r="Q996" s="11"/>
    </row>
    <row r="997" spans="4:17">
      <c r="D997" s="15"/>
      <c r="F997" s="11"/>
      <c r="Q997" s="11"/>
    </row>
    <row r="998" spans="4:17">
      <c r="D998" s="15"/>
      <c r="F998" s="11"/>
      <c r="Q998" s="11"/>
    </row>
    <row r="999" spans="4:17">
      <c r="D999" s="15"/>
      <c r="F999" s="11"/>
      <c r="Q999" s="11"/>
    </row>
    <row r="1000" spans="4:17">
      <c r="D1000" s="15"/>
      <c r="F1000" s="11"/>
      <c r="Q1000" s="11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0"/>
  <sheetViews>
    <sheetView topLeftCell="A67" workbookViewId="0">
      <selection activeCell="M91" sqref="M91"/>
    </sheetView>
  </sheetViews>
  <sheetFormatPr defaultColWidth="14.42578125" defaultRowHeight="15.75" customHeight="1"/>
  <sheetData>
    <row r="1" spans="1:13">
      <c r="A1" s="4" t="s">
        <v>0</v>
      </c>
      <c r="B1" s="4" t="s">
        <v>20</v>
      </c>
      <c r="C1" s="4" t="s">
        <v>2</v>
      </c>
      <c r="D1" s="4" t="s">
        <v>3</v>
      </c>
      <c r="E1" s="4" t="s">
        <v>4</v>
      </c>
      <c r="F1" s="2" t="s">
        <v>5</v>
      </c>
      <c r="H1" t="s">
        <v>0</v>
      </c>
      <c r="I1" t="s">
        <v>20</v>
      </c>
      <c r="J1" t="s">
        <v>2</v>
      </c>
      <c r="K1" t="s">
        <v>3</v>
      </c>
      <c r="L1" t="s">
        <v>4</v>
      </c>
      <c r="M1" t="s">
        <v>5</v>
      </c>
    </row>
    <row r="2" spans="1:13">
      <c r="A2" s="7">
        <v>0.85674768518518518</v>
      </c>
      <c r="B2" s="4" t="s">
        <v>21</v>
      </c>
      <c r="C2" s="4" t="s">
        <v>8</v>
      </c>
      <c r="D2" s="12">
        <v>73616</v>
      </c>
      <c r="E2" s="12">
        <v>3</v>
      </c>
      <c r="F2" s="13">
        <f t="shared" ref="F2:F365" si="0">IF(C2="Продажа",D2*E2,-D2*E2)</f>
        <v>-220848</v>
      </c>
      <c r="H2" s="24">
        <v>0.41524305555555557</v>
      </c>
      <c r="I2" t="s">
        <v>14</v>
      </c>
      <c r="J2" t="s">
        <v>8</v>
      </c>
      <c r="K2">
        <v>2.5430000000000001</v>
      </c>
      <c r="L2">
        <v>8</v>
      </c>
      <c r="M2">
        <f>IF(J2="Продажа",K2*L2,-K2*L2)</f>
        <v>-20.344000000000001</v>
      </c>
    </row>
    <row r="3" spans="1:13">
      <c r="A3" s="7">
        <v>0.85674768518518518</v>
      </c>
      <c r="B3" s="4" t="s">
        <v>23</v>
      </c>
      <c r="C3" s="4" t="s">
        <v>7</v>
      </c>
      <c r="D3" s="12">
        <v>72838</v>
      </c>
      <c r="E3" s="12">
        <v>3</v>
      </c>
      <c r="F3" s="13">
        <f t="shared" si="0"/>
        <v>218514</v>
      </c>
      <c r="H3" s="24">
        <v>0.41309027777777779</v>
      </c>
      <c r="I3" t="s">
        <v>14</v>
      </c>
      <c r="J3" t="s">
        <v>8</v>
      </c>
      <c r="K3">
        <v>2.54</v>
      </c>
      <c r="L3">
        <v>5</v>
      </c>
      <c r="M3">
        <f t="shared" ref="M3:M66" si="1">IF(J3="Продажа",K3*L3,-K3*L3)</f>
        <v>-12.7</v>
      </c>
    </row>
    <row r="4" spans="1:13">
      <c r="A4" s="7">
        <v>0.84600694444444446</v>
      </c>
      <c r="B4" s="4" t="s">
        <v>21</v>
      </c>
      <c r="C4" s="4" t="s">
        <v>8</v>
      </c>
      <c r="D4" s="12">
        <v>73565</v>
      </c>
      <c r="E4" s="12">
        <v>1</v>
      </c>
      <c r="F4" s="13">
        <f t="shared" si="0"/>
        <v>-73565</v>
      </c>
      <c r="H4" s="24">
        <v>0.4034490740740741</v>
      </c>
      <c r="I4" t="s">
        <v>14</v>
      </c>
      <c r="J4" t="s">
        <v>7</v>
      </c>
      <c r="K4">
        <v>2.5369999999999999</v>
      </c>
      <c r="L4">
        <v>13</v>
      </c>
      <c r="M4">
        <f t="shared" si="1"/>
        <v>32.981000000000002</v>
      </c>
    </row>
    <row r="5" spans="1:13">
      <c r="A5" s="7">
        <v>0.84600694444444446</v>
      </c>
      <c r="B5" s="4" t="s">
        <v>23</v>
      </c>
      <c r="C5" s="4" t="s">
        <v>7</v>
      </c>
      <c r="D5" s="12">
        <v>72793</v>
      </c>
      <c r="E5" s="12">
        <v>1</v>
      </c>
      <c r="F5" s="13">
        <f t="shared" si="0"/>
        <v>72793</v>
      </c>
      <c r="H5" s="24">
        <v>0.39958333333333335</v>
      </c>
      <c r="I5" t="s">
        <v>14</v>
      </c>
      <c r="J5" t="s">
        <v>7</v>
      </c>
      <c r="K5">
        <v>2.5299999999999998</v>
      </c>
      <c r="L5">
        <v>1</v>
      </c>
      <c r="M5">
        <f t="shared" si="1"/>
        <v>2.5299999999999998</v>
      </c>
    </row>
    <row r="6" spans="1:13">
      <c r="A6" s="7">
        <v>0.84361111111111109</v>
      </c>
      <c r="B6" s="4" t="s">
        <v>21</v>
      </c>
      <c r="C6" s="4" t="s">
        <v>8</v>
      </c>
      <c r="D6" s="12">
        <v>73587</v>
      </c>
      <c r="E6" s="12">
        <v>1</v>
      </c>
      <c r="F6" s="13">
        <f t="shared" si="0"/>
        <v>-73587</v>
      </c>
      <c r="H6" s="24">
        <v>0.39958333333333335</v>
      </c>
      <c r="I6" t="s">
        <v>14</v>
      </c>
      <c r="J6" t="s">
        <v>7</v>
      </c>
      <c r="K6">
        <v>2.5299999999999998</v>
      </c>
      <c r="L6">
        <v>1</v>
      </c>
      <c r="M6">
        <f t="shared" si="1"/>
        <v>2.5299999999999998</v>
      </c>
    </row>
    <row r="7" spans="1:13">
      <c r="A7" s="7">
        <v>0.84361111111111109</v>
      </c>
      <c r="B7" s="4" t="s">
        <v>21</v>
      </c>
      <c r="C7" s="4" t="s">
        <v>8</v>
      </c>
      <c r="D7" s="12">
        <v>73587</v>
      </c>
      <c r="E7" s="12">
        <v>1</v>
      </c>
      <c r="F7" s="13">
        <f t="shared" si="0"/>
        <v>-73587</v>
      </c>
      <c r="H7" s="24">
        <v>0.39958333333333335</v>
      </c>
      <c r="I7" t="s">
        <v>14</v>
      </c>
      <c r="J7" t="s">
        <v>7</v>
      </c>
      <c r="K7">
        <v>2.5299999999999998</v>
      </c>
      <c r="L7">
        <v>1</v>
      </c>
      <c r="M7">
        <f t="shared" si="1"/>
        <v>2.5299999999999998</v>
      </c>
    </row>
    <row r="8" spans="1:13">
      <c r="A8" s="7">
        <v>0.84361111111111109</v>
      </c>
      <c r="B8" s="4" t="s">
        <v>21</v>
      </c>
      <c r="C8" s="4" t="s">
        <v>8</v>
      </c>
      <c r="D8" s="12">
        <v>73587</v>
      </c>
      <c r="E8" s="12">
        <v>1</v>
      </c>
      <c r="F8" s="13">
        <f t="shared" si="0"/>
        <v>-73587</v>
      </c>
      <c r="H8" s="24">
        <v>0.39958333333333335</v>
      </c>
      <c r="I8" t="s">
        <v>14</v>
      </c>
      <c r="J8" t="s">
        <v>7</v>
      </c>
      <c r="K8">
        <v>2.5299999999999998</v>
      </c>
      <c r="L8">
        <v>6</v>
      </c>
      <c r="M8">
        <f t="shared" si="1"/>
        <v>15.18</v>
      </c>
    </row>
    <row r="9" spans="1:13">
      <c r="A9" s="7">
        <v>0.84361111111111109</v>
      </c>
      <c r="B9" s="4" t="s">
        <v>23</v>
      </c>
      <c r="C9" s="4" t="s">
        <v>7</v>
      </c>
      <c r="D9" s="12">
        <v>72810</v>
      </c>
      <c r="E9" s="12">
        <v>3</v>
      </c>
      <c r="F9" s="13">
        <f t="shared" si="0"/>
        <v>218430</v>
      </c>
      <c r="H9" s="24">
        <v>0.39958333333333335</v>
      </c>
      <c r="I9" t="s">
        <v>14</v>
      </c>
      <c r="J9" t="s">
        <v>7</v>
      </c>
      <c r="K9">
        <v>2.5299999999999998</v>
      </c>
      <c r="L9">
        <v>1</v>
      </c>
      <c r="M9">
        <f t="shared" si="1"/>
        <v>2.5299999999999998</v>
      </c>
    </row>
    <row r="10" spans="1:13">
      <c r="A10" s="7">
        <v>0.84359953703703705</v>
      </c>
      <c r="B10" s="4" t="s">
        <v>21</v>
      </c>
      <c r="C10" s="4" t="s">
        <v>8</v>
      </c>
      <c r="D10" s="12">
        <v>73582</v>
      </c>
      <c r="E10" s="12">
        <v>3</v>
      </c>
      <c r="F10" s="13">
        <f t="shared" si="0"/>
        <v>-220746</v>
      </c>
      <c r="H10" s="24">
        <v>0.39958333333333335</v>
      </c>
      <c r="I10" t="s">
        <v>14</v>
      </c>
      <c r="J10" t="s">
        <v>7</v>
      </c>
      <c r="K10">
        <v>2.5299999999999998</v>
      </c>
      <c r="L10">
        <v>1</v>
      </c>
      <c r="M10">
        <f t="shared" si="1"/>
        <v>2.5299999999999998</v>
      </c>
    </row>
    <row r="11" spans="1:13">
      <c r="A11" s="7">
        <v>0.84359953703703705</v>
      </c>
      <c r="B11" s="4" t="s">
        <v>23</v>
      </c>
      <c r="C11" s="4" t="s">
        <v>7</v>
      </c>
      <c r="D11" s="12">
        <v>72806</v>
      </c>
      <c r="E11" s="12">
        <v>3</v>
      </c>
      <c r="F11" s="13">
        <f t="shared" si="0"/>
        <v>218418</v>
      </c>
      <c r="H11" s="24">
        <v>0.39958333333333335</v>
      </c>
      <c r="I11" t="s">
        <v>14</v>
      </c>
      <c r="J11" t="s">
        <v>7</v>
      </c>
      <c r="K11">
        <v>2.5310000000000001</v>
      </c>
      <c r="L11">
        <v>1</v>
      </c>
      <c r="M11">
        <f t="shared" si="1"/>
        <v>2.5310000000000001</v>
      </c>
    </row>
    <row r="12" spans="1:13">
      <c r="A12" s="7">
        <v>0.84356481481481482</v>
      </c>
      <c r="B12" s="4" t="s">
        <v>21</v>
      </c>
      <c r="C12" s="4" t="s">
        <v>8</v>
      </c>
      <c r="D12" s="12">
        <v>73578</v>
      </c>
      <c r="E12" s="12">
        <v>1</v>
      </c>
      <c r="F12" s="13">
        <f t="shared" si="0"/>
        <v>-73578</v>
      </c>
      <c r="H12" s="24">
        <v>0.39958333333333335</v>
      </c>
      <c r="I12" t="s">
        <v>14</v>
      </c>
      <c r="J12" t="s">
        <v>7</v>
      </c>
      <c r="K12">
        <v>2.5310000000000001</v>
      </c>
      <c r="L12">
        <v>1</v>
      </c>
      <c r="M12">
        <f t="shared" si="1"/>
        <v>2.5310000000000001</v>
      </c>
    </row>
    <row r="13" spans="1:13">
      <c r="A13" s="7">
        <v>0.84356481481481482</v>
      </c>
      <c r="B13" s="4" t="s">
        <v>21</v>
      </c>
      <c r="C13" s="4" t="s">
        <v>8</v>
      </c>
      <c r="D13" s="12">
        <v>73578</v>
      </c>
      <c r="E13" s="12">
        <v>2</v>
      </c>
      <c r="F13" s="13">
        <f t="shared" si="0"/>
        <v>-147156</v>
      </c>
      <c r="H13" s="24">
        <v>0.39958333333333335</v>
      </c>
      <c r="I13" t="s">
        <v>14</v>
      </c>
      <c r="J13" t="s">
        <v>7</v>
      </c>
      <c r="K13">
        <v>2.5310000000000001</v>
      </c>
      <c r="L13">
        <v>1</v>
      </c>
      <c r="M13">
        <f t="shared" si="1"/>
        <v>2.5310000000000001</v>
      </c>
    </row>
    <row r="14" spans="1:13">
      <c r="A14" s="7">
        <v>0.84356481481481482</v>
      </c>
      <c r="B14" s="4" t="s">
        <v>23</v>
      </c>
      <c r="C14" s="4" t="s">
        <v>7</v>
      </c>
      <c r="D14" s="12">
        <v>72806</v>
      </c>
      <c r="E14" s="12">
        <v>1</v>
      </c>
      <c r="F14" s="13">
        <f t="shared" si="0"/>
        <v>72806</v>
      </c>
      <c r="H14" s="24">
        <v>0.39958333333333335</v>
      </c>
      <c r="I14" t="s">
        <v>14</v>
      </c>
      <c r="J14" t="s">
        <v>7</v>
      </c>
      <c r="K14">
        <v>2.532</v>
      </c>
      <c r="L14">
        <v>1</v>
      </c>
      <c r="M14">
        <f t="shared" si="1"/>
        <v>2.532</v>
      </c>
    </row>
    <row r="15" spans="1:13">
      <c r="A15" s="7">
        <v>0.84356481481481482</v>
      </c>
      <c r="B15" s="4" t="s">
        <v>23</v>
      </c>
      <c r="C15" s="4" t="s">
        <v>7</v>
      </c>
      <c r="D15" s="12">
        <v>72806</v>
      </c>
      <c r="E15" s="12">
        <v>2</v>
      </c>
      <c r="F15" s="13">
        <f t="shared" si="0"/>
        <v>145612</v>
      </c>
      <c r="H15" s="24">
        <v>0.39958333333333335</v>
      </c>
      <c r="I15" t="s">
        <v>14</v>
      </c>
      <c r="J15" t="s">
        <v>7</v>
      </c>
      <c r="K15">
        <v>2.532</v>
      </c>
      <c r="L15">
        <v>1</v>
      </c>
      <c r="M15">
        <f t="shared" si="1"/>
        <v>2.532</v>
      </c>
    </row>
    <row r="16" spans="1:13">
      <c r="A16" s="7">
        <v>0.84356481481481482</v>
      </c>
      <c r="B16" s="4" t="s">
        <v>21</v>
      </c>
      <c r="C16" s="4" t="s">
        <v>8</v>
      </c>
      <c r="D16" s="12">
        <v>73574</v>
      </c>
      <c r="E16" s="12">
        <v>3</v>
      </c>
      <c r="F16" s="13">
        <f t="shared" si="0"/>
        <v>-220722</v>
      </c>
      <c r="H16" s="24">
        <v>0.39958333333333335</v>
      </c>
      <c r="I16" t="s">
        <v>14</v>
      </c>
      <c r="J16" t="s">
        <v>7</v>
      </c>
      <c r="K16">
        <v>2.5329999999999999</v>
      </c>
      <c r="L16">
        <v>1</v>
      </c>
      <c r="M16">
        <f t="shared" si="1"/>
        <v>2.5329999999999999</v>
      </c>
    </row>
    <row r="17" spans="1:13">
      <c r="A17" s="7">
        <v>0.84356481481481482</v>
      </c>
      <c r="B17" s="4" t="s">
        <v>23</v>
      </c>
      <c r="C17" s="4" t="s">
        <v>7</v>
      </c>
      <c r="D17" s="12">
        <v>72802</v>
      </c>
      <c r="E17" s="12">
        <v>3</v>
      </c>
      <c r="F17" s="13">
        <f t="shared" si="0"/>
        <v>218406</v>
      </c>
      <c r="H17" s="24">
        <v>0.39736111111111111</v>
      </c>
      <c r="I17" t="s">
        <v>14</v>
      </c>
      <c r="J17" t="s">
        <v>8</v>
      </c>
      <c r="K17">
        <v>2.5339999999999998</v>
      </c>
      <c r="L17">
        <v>17</v>
      </c>
      <c r="M17">
        <f t="shared" si="1"/>
        <v>-43.077999999999996</v>
      </c>
    </row>
    <row r="18" spans="1:13">
      <c r="A18" s="7">
        <v>0.84356481481481482</v>
      </c>
      <c r="B18" s="4" t="s">
        <v>21</v>
      </c>
      <c r="C18" s="4" t="s">
        <v>8</v>
      </c>
      <c r="D18" s="12">
        <v>73571</v>
      </c>
      <c r="E18" s="12">
        <v>3</v>
      </c>
      <c r="F18" s="13">
        <f t="shared" si="0"/>
        <v>-220713</v>
      </c>
      <c r="H18" s="24">
        <v>0.39454861111111111</v>
      </c>
      <c r="I18" t="s">
        <v>14</v>
      </c>
      <c r="J18" t="s">
        <v>8</v>
      </c>
      <c r="K18">
        <v>2.5430000000000001</v>
      </c>
      <c r="L18">
        <v>3</v>
      </c>
      <c r="M18">
        <f t="shared" si="1"/>
        <v>-7.6290000000000004</v>
      </c>
    </row>
    <row r="19" spans="1:13">
      <c r="A19" s="7">
        <v>0.84356481481481482</v>
      </c>
      <c r="B19" s="4" t="s">
        <v>23</v>
      </c>
      <c r="C19" s="4" t="s">
        <v>7</v>
      </c>
      <c r="D19" s="12">
        <v>72797</v>
      </c>
      <c r="E19" s="12">
        <v>3</v>
      </c>
      <c r="F19" s="13">
        <f t="shared" si="0"/>
        <v>218391</v>
      </c>
      <c r="H19" s="24">
        <v>0.37902777777777774</v>
      </c>
      <c r="I19" t="s">
        <v>14</v>
      </c>
      <c r="J19" t="s">
        <v>8</v>
      </c>
      <c r="K19">
        <v>2.544</v>
      </c>
      <c r="L19">
        <v>2</v>
      </c>
      <c r="M19">
        <f t="shared" si="1"/>
        <v>-5.0880000000000001</v>
      </c>
    </row>
    <row r="20" spans="1:13">
      <c r="A20" s="7">
        <v>0.84349537037037037</v>
      </c>
      <c r="B20" s="4" t="s">
        <v>21</v>
      </c>
      <c r="C20" s="4" t="s">
        <v>8</v>
      </c>
      <c r="D20" s="12">
        <v>73565</v>
      </c>
      <c r="E20" s="12">
        <v>1</v>
      </c>
      <c r="F20" s="13">
        <f t="shared" si="0"/>
        <v>-73565</v>
      </c>
      <c r="H20" s="24">
        <v>0.37142361111111111</v>
      </c>
      <c r="I20" t="s">
        <v>14</v>
      </c>
      <c r="J20" t="s">
        <v>8</v>
      </c>
      <c r="K20">
        <v>2.5459999999999998</v>
      </c>
      <c r="L20">
        <v>10</v>
      </c>
      <c r="M20">
        <f t="shared" si="1"/>
        <v>-25.459999999999997</v>
      </c>
    </row>
    <row r="21" spans="1:13">
      <c r="A21" s="7">
        <v>0.84349537037037037</v>
      </c>
      <c r="B21" s="4" t="s">
        <v>21</v>
      </c>
      <c r="C21" s="4" t="s">
        <v>8</v>
      </c>
      <c r="D21" s="12">
        <v>73563</v>
      </c>
      <c r="E21" s="12">
        <v>2</v>
      </c>
      <c r="F21" s="13">
        <f t="shared" si="0"/>
        <v>-147126</v>
      </c>
      <c r="H21" s="24">
        <v>0.37142361111111111</v>
      </c>
      <c r="I21" t="s">
        <v>14</v>
      </c>
      <c r="J21" t="s">
        <v>8</v>
      </c>
      <c r="K21">
        <v>2.5459999999999998</v>
      </c>
      <c r="L21">
        <v>1</v>
      </c>
      <c r="M21">
        <f t="shared" si="1"/>
        <v>-2.5459999999999998</v>
      </c>
    </row>
    <row r="22" spans="1:13">
      <c r="A22" s="7">
        <v>0.84349537037037037</v>
      </c>
      <c r="B22" s="4" t="s">
        <v>23</v>
      </c>
      <c r="C22" s="4" t="s">
        <v>7</v>
      </c>
      <c r="D22" s="12">
        <v>72788</v>
      </c>
      <c r="E22" s="12">
        <v>3</v>
      </c>
      <c r="F22" s="13">
        <f t="shared" si="0"/>
        <v>218364</v>
      </c>
      <c r="H22" s="24">
        <v>0.37142361111111111</v>
      </c>
      <c r="I22" t="s">
        <v>14</v>
      </c>
      <c r="J22" t="s">
        <v>8</v>
      </c>
      <c r="K22">
        <v>2.5459999999999998</v>
      </c>
      <c r="L22">
        <v>1</v>
      </c>
      <c r="M22">
        <f t="shared" si="1"/>
        <v>-2.5459999999999998</v>
      </c>
    </row>
    <row r="23" spans="1:13">
      <c r="A23" s="7">
        <v>0.84250000000000003</v>
      </c>
      <c r="B23" s="4" t="s">
        <v>21</v>
      </c>
      <c r="C23" s="4" t="s">
        <v>8</v>
      </c>
      <c r="D23" s="12">
        <v>73547</v>
      </c>
      <c r="E23" s="12">
        <v>3</v>
      </c>
      <c r="F23" s="13">
        <f t="shared" si="0"/>
        <v>-220641</v>
      </c>
      <c r="H23" s="24">
        <v>0.37002314814814818</v>
      </c>
      <c r="I23" t="s">
        <v>19</v>
      </c>
      <c r="J23" t="s">
        <v>8</v>
      </c>
      <c r="K23">
        <v>68.78</v>
      </c>
      <c r="L23">
        <v>8</v>
      </c>
      <c r="M23">
        <f t="shared" si="1"/>
        <v>-550.24</v>
      </c>
    </row>
    <row r="24" spans="1:13">
      <c r="A24" s="7">
        <v>0.84250000000000003</v>
      </c>
      <c r="B24" s="4" t="s">
        <v>23</v>
      </c>
      <c r="C24" s="4" t="s">
        <v>7</v>
      </c>
      <c r="D24" s="12">
        <v>72771</v>
      </c>
      <c r="E24" s="12">
        <v>3</v>
      </c>
      <c r="F24" s="13">
        <f t="shared" si="0"/>
        <v>218313</v>
      </c>
      <c r="H24" s="24">
        <v>0.37002314814814818</v>
      </c>
      <c r="I24" t="s">
        <v>19</v>
      </c>
      <c r="J24" t="s">
        <v>8</v>
      </c>
      <c r="K24">
        <v>68.78</v>
      </c>
      <c r="L24">
        <v>1</v>
      </c>
      <c r="M24">
        <f t="shared" si="1"/>
        <v>-68.78</v>
      </c>
    </row>
    <row r="25" spans="1:13">
      <c r="A25" s="7">
        <v>0.84250000000000003</v>
      </c>
      <c r="B25" s="4" t="s">
        <v>21</v>
      </c>
      <c r="C25" s="4" t="s">
        <v>8</v>
      </c>
      <c r="D25" s="12">
        <v>73542</v>
      </c>
      <c r="E25" s="12">
        <v>3</v>
      </c>
      <c r="F25" s="13">
        <f t="shared" si="0"/>
        <v>-220626</v>
      </c>
      <c r="H25" s="24">
        <v>0.37002314814814818</v>
      </c>
      <c r="I25" t="s">
        <v>19</v>
      </c>
      <c r="J25" t="s">
        <v>8</v>
      </c>
      <c r="K25">
        <v>68.78</v>
      </c>
      <c r="L25">
        <v>72</v>
      </c>
      <c r="M25">
        <f t="shared" si="1"/>
        <v>-4952.16</v>
      </c>
    </row>
    <row r="26" spans="1:13">
      <c r="A26" s="7">
        <v>0.84250000000000003</v>
      </c>
      <c r="B26" s="4" t="s">
        <v>23</v>
      </c>
      <c r="C26" s="4" t="s">
        <v>7</v>
      </c>
      <c r="D26" s="12">
        <v>72768</v>
      </c>
      <c r="E26" s="12">
        <v>3</v>
      </c>
      <c r="F26" s="13">
        <f t="shared" si="0"/>
        <v>218304</v>
      </c>
      <c r="H26" s="24">
        <v>0.36664351851851856</v>
      </c>
      <c r="I26" t="s">
        <v>19</v>
      </c>
      <c r="J26" t="s">
        <v>7</v>
      </c>
      <c r="K26">
        <v>68.77</v>
      </c>
      <c r="L26">
        <v>181</v>
      </c>
      <c r="M26">
        <f t="shared" si="1"/>
        <v>12447.369999999999</v>
      </c>
    </row>
    <row r="27" spans="1:13">
      <c r="A27" s="7">
        <v>0.84155092592592595</v>
      </c>
      <c r="B27" s="4" t="s">
        <v>21</v>
      </c>
      <c r="C27" s="4" t="s">
        <v>8</v>
      </c>
      <c r="D27" s="12">
        <v>73543</v>
      </c>
      <c r="E27" s="12">
        <v>3</v>
      </c>
      <c r="F27" s="13">
        <f t="shared" si="0"/>
        <v>-220629</v>
      </c>
      <c r="H27" s="24">
        <v>0.36664351851851856</v>
      </c>
      <c r="I27" t="s">
        <v>17</v>
      </c>
      <c r="J27" t="s">
        <v>7</v>
      </c>
      <c r="K27">
        <v>68.33</v>
      </c>
      <c r="L27">
        <v>200</v>
      </c>
      <c r="M27">
        <f t="shared" si="1"/>
        <v>13666</v>
      </c>
    </row>
    <row r="28" spans="1:13">
      <c r="A28" s="7">
        <v>0.84155092592592595</v>
      </c>
      <c r="B28" s="4" t="s">
        <v>23</v>
      </c>
      <c r="C28" s="4" t="s">
        <v>7</v>
      </c>
      <c r="D28" s="12">
        <v>72767</v>
      </c>
      <c r="E28" s="12">
        <v>3</v>
      </c>
      <c r="F28" s="13">
        <f t="shared" si="0"/>
        <v>218301</v>
      </c>
      <c r="H28" s="24">
        <v>0.35891203703703706</v>
      </c>
      <c r="I28" t="s">
        <v>14</v>
      </c>
      <c r="J28" t="s">
        <v>8</v>
      </c>
      <c r="K28">
        <v>2.5409999999999999</v>
      </c>
      <c r="L28">
        <v>3</v>
      </c>
      <c r="M28">
        <f t="shared" si="1"/>
        <v>-7.6229999999999993</v>
      </c>
    </row>
    <row r="29" spans="1:13">
      <c r="A29" s="7">
        <v>0.84155092592592595</v>
      </c>
      <c r="B29" s="4" t="s">
        <v>21</v>
      </c>
      <c r="C29" s="4" t="s">
        <v>8</v>
      </c>
      <c r="D29" s="12">
        <v>73540</v>
      </c>
      <c r="E29" s="12">
        <v>3</v>
      </c>
      <c r="F29" s="13">
        <f t="shared" si="0"/>
        <v>-220620</v>
      </c>
      <c r="H29" s="24">
        <v>0.35881944444444441</v>
      </c>
      <c r="I29" t="s">
        <v>14</v>
      </c>
      <c r="J29" t="s">
        <v>7</v>
      </c>
      <c r="K29">
        <v>2.5470000000000002</v>
      </c>
      <c r="L29">
        <v>6</v>
      </c>
      <c r="M29">
        <f t="shared" si="1"/>
        <v>15.282</v>
      </c>
    </row>
    <row r="30" spans="1:13">
      <c r="A30" s="7">
        <v>0.84155092592592595</v>
      </c>
      <c r="B30" s="4" t="s">
        <v>23</v>
      </c>
      <c r="C30" s="4" t="s">
        <v>7</v>
      </c>
      <c r="D30" s="12">
        <v>72767</v>
      </c>
      <c r="E30" s="12">
        <v>3</v>
      </c>
      <c r="F30" s="13">
        <f t="shared" si="0"/>
        <v>218301</v>
      </c>
      <c r="H30" s="24">
        <v>0.3578587962962963</v>
      </c>
      <c r="I30" t="s">
        <v>14</v>
      </c>
      <c r="J30" t="s">
        <v>7</v>
      </c>
      <c r="K30">
        <v>2.5489999999999999</v>
      </c>
      <c r="L30">
        <v>10</v>
      </c>
      <c r="M30">
        <f t="shared" si="1"/>
        <v>25.49</v>
      </c>
    </row>
    <row r="31" spans="1:13">
      <c r="A31" s="7">
        <v>0.8415393518518518</v>
      </c>
      <c r="B31" s="4" t="s">
        <v>21</v>
      </c>
      <c r="C31" s="4" t="s">
        <v>8</v>
      </c>
      <c r="D31" s="12">
        <v>73540</v>
      </c>
      <c r="E31" s="12">
        <v>3</v>
      </c>
      <c r="F31" s="13">
        <f t="shared" si="0"/>
        <v>-220620</v>
      </c>
      <c r="H31" s="24">
        <v>0.35751157407407402</v>
      </c>
      <c r="I31" t="s">
        <v>14</v>
      </c>
      <c r="J31" t="s">
        <v>7</v>
      </c>
      <c r="K31">
        <v>2.5459999999999998</v>
      </c>
      <c r="L31">
        <v>1</v>
      </c>
      <c r="M31">
        <f t="shared" si="1"/>
        <v>2.5459999999999998</v>
      </c>
    </row>
    <row r="32" spans="1:13">
      <c r="A32" s="7">
        <v>0.8415393518518518</v>
      </c>
      <c r="B32" s="4" t="s">
        <v>23</v>
      </c>
      <c r="C32" s="4" t="s">
        <v>7</v>
      </c>
      <c r="D32" s="12">
        <v>72767</v>
      </c>
      <c r="E32" s="12">
        <v>3</v>
      </c>
      <c r="F32" s="13">
        <f t="shared" si="0"/>
        <v>218301</v>
      </c>
      <c r="H32" s="24">
        <v>0.35487268518518517</v>
      </c>
      <c r="I32" t="s">
        <v>14</v>
      </c>
      <c r="J32" t="s">
        <v>8</v>
      </c>
      <c r="K32">
        <v>2.5419999999999998</v>
      </c>
      <c r="L32">
        <v>33</v>
      </c>
      <c r="M32">
        <f t="shared" si="1"/>
        <v>-83.885999999999996</v>
      </c>
    </row>
    <row r="33" spans="1:13">
      <c r="A33" s="7">
        <v>0.8414814814814815</v>
      </c>
      <c r="B33" s="4" t="s">
        <v>21</v>
      </c>
      <c r="C33" s="4" t="s">
        <v>8</v>
      </c>
      <c r="D33" s="12">
        <v>73540</v>
      </c>
      <c r="E33" s="12">
        <v>3</v>
      </c>
      <c r="F33" s="13">
        <f t="shared" si="0"/>
        <v>-220620</v>
      </c>
      <c r="H33" s="24">
        <v>0.35487268518518517</v>
      </c>
      <c r="I33" t="s">
        <v>14</v>
      </c>
      <c r="J33" t="s">
        <v>8</v>
      </c>
      <c r="K33">
        <v>2.544</v>
      </c>
      <c r="L33">
        <v>3</v>
      </c>
      <c r="M33">
        <f t="shared" si="1"/>
        <v>-7.6319999999999997</v>
      </c>
    </row>
    <row r="34" spans="1:13">
      <c r="A34" s="7">
        <v>0.8414814814814815</v>
      </c>
      <c r="B34" s="4" t="s">
        <v>23</v>
      </c>
      <c r="C34" s="4" t="s">
        <v>7</v>
      </c>
      <c r="D34" s="12">
        <v>72767</v>
      </c>
      <c r="E34" s="12">
        <v>3</v>
      </c>
      <c r="F34" s="13">
        <f t="shared" si="0"/>
        <v>218301</v>
      </c>
      <c r="H34" s="24">
        <v>0.35478009259259258</v>
      </c>
      <c r="I34" t="s">
        <v>14</v>
      </c>
      <c r="J34" t="s">
        <v>8</v>
      </c>
      <c r="K34">
        <v>2.5449999999999999</v>
      </c>
      <c r="L34">
        <v>2</v>
      </c>
      <c r="M34">
        <f t="shared" si="1"/>
        <v>-5.09</v>
      </c>
    </row>
    <row r="35" spans="1:13">
      <c r="A35" s="7">
        <v>0.8414814814814815</v>
      </c>
      <c r="B35" s="4" t="s">
        <v>21</v>
      </c>
      <c r="C35" s="4" t="s">
        <v>8</v>
      </c>
      <c r="D35" s="12">
        <v>73540</v>
      </c>
      <c r="E35" s="12">
        <v>1</v>
      </c>
      <c r="F35" s="13">
        <f t="shared" si="0"/>
        <v>-73540</v>
      </c>
      <c r="H35" s="24">
        <v>0.35478009259259258</v>
      </c>
      <c r="I35" t="s">
        <v>14</v>
      </c>
      <c r="J35" t="s">
        <v>8</v>
      </c>
      <c r="K35">
        <v>2.5449999999999999</v>
      </c>
      <c r="L35">
        <v>1</v>
      </c>
      <c r="M35">
        <f t="shared" si="1"/>
        <v>-2.5449999999999999</v>
      </c>
    </row>
    <row r="36" spans="1:13">
      <c r="A36" s="7">
        <v>0.8414814814814815</v>
      </c>
      <c r="B36" s="4" t="s">
        <v>23</v>
      </c>
      <c r="C36" s="4" t="s">
        <v>7</v>
      </c>
      <c r="D36" s="12">
        <v>72767</v>
      </c>
      <c r="E36" s="12">
        <v>1</v>
      </c>
      <c r="F36" s="13">
        <f t="shared" si="0"/>
        <v>72767</v>
      </c>
      <c r="H36" s="24">
        <v>0.35475694444444444</v>
      </c>
      <c r="I36" t="s">
        <v>14</v>
      </c>
      <c r="J36" t="s">
        <v>8</v>
      </c>
      <c r="K36">
        <v>2.5419999999999998</v>
      </c>
      <c r="L36">
        <v>33</v>
      </c>
      <c r="M36">
        <f t="shared" si="1"/>
        <v>-83.885999999999996</v>
      </c>
    </row>
    <row r="37" spans="1:13">
      <c r="A37" s="7">
        <v>0.84146990740740746</v>
      </c>
      <c r="B37" s="4" t="s">
        <v>21</v>
      </c>
      <c r="C37" s="4" t="s">
        <v>8</v>
      </c>
      <c r="D37" s="12">
        <v>73540</v>
      </c>
      <c r="E37" s="12">
        <v>2</v>
      </c>
      <c r="F37" s="13">
        <f t="shared" si="0"/>
        <v>-147080</v>
      </c>
      <c r="H37" s="24">
        <v>0.35364583333333338</v>
      </c>
      <c r="I37" t="s">
        <v>14</v>
      </c>
      <c r="J37" t="s">
        <v>8</v>
      </c>
      <c r="K37">
        <v>2.5430000000000001</v>
      </c>
      <c r="L37">
        <v>4</v>
      </c>
      <c r="M37">
        <f t="shared" si="1"/>
        <v>-10.172000000000001</v>
      </c>
    </row>
    <row r="38" spans="1:13">
      <c r="A38" s="7">
        <v>0.84146990740740746</v>
      </c>
      <c r="B38" s="4" t="s">
        <v>23</v>
      </c>
      <c r="C38" s="4" t="s">
        <v>7</v>
      </c>
      <c r="D38" s="12">
        <v>72767</v>
      </c>
      <c r="E38" s="12">
        <v>2</v>
      </c>
      <c r="F38" s="13">
        <f t="shared" si="0"/>
        <v>145534</v>
      </c>
      <c r="H38" s="24">
        <v>0.35364583333333338</v>
      </c>
      <c r="I38" t="s">
        <v>14</v>
      </c>
      <c r="J38" t="s">
        <v>8</v>
      </c>
      <c r="K38">
        <v>2.5430000000000001</v>
      </c>
      <c r="L38">
        <v>4</v>
      </c>
      <c r="M38">
        <f t="shared" si="1"/>
        <v>-10.172000000000001</v>
      </c>
    </row>
    <row r="39" spans="1:13">
      <c r="A39" s="7">
        <v>0.84144675925925927</v>
      </c>
      <c r="B39" s="4" t="s">
        <v>21</v>
      </c>
      <c r="C39" s="4" t="s">
        <v>8</v>
      </c>
      <c r="D39" s="12">
        <v>73540</v>
      </c>
      <c r="E39" s="12">
        <v>3</v>
      </c>
      <c r="F39" s="13">
        <f t="shared" si="0"/>
        <v>-220620</v>
      </c>
      <c r="H39" s="24">
        <v>0.35364583333333338</v>
      </c>
      <c r="I39" t="s">
        <v>14</v>
      </c>
      <c r="J39" t="s">
        <v>8</v>
      </c>
      <c r="K39">
        <v>2.5430000000000001</v>
      </c>
      <c r="L39">
        <v>4</v>
      </c>
      <c r="M39">
        <f t="shared" si="1"/>
        <v>-10.172000000000001</v>
      </c>
    </row>
    <row r="40" spans="1:13">
      <c r="A40" s="7">
        <v>0.84144675925925927</v>
      </c>
      <c r="B40" s="4" t="s">
        <v>23</v>
      </c>
      <c r="C40" s="4" t="s">
        <v>7</v>
      </c>
      <c r="D40" s="12">
        <v>72765</v>
      </c>
      <c r="E40" s="12">
        <v>3</v>
      </c>
      <c r="F40" s="13">
        <f t="shared" si="0"/>
        <v>218295</v>
      </c>
      <c r="H40" s="24">
        <v>0.35363425925925923</v>
      </c>
      <c r="I40" t="s">
        <v>14</v>
      </c>
      <c r="J40" t="s">
        <v>8</v>
      </c>
      <c r="K40">
        <v>2.5430000000000001</v>
      </c>
      <c r="L40">
        <v>4</v>
      </c>
      <c r="M40">
        <f t="shared" si="1"/>
        <v>-10.172000000000001</v>
      </c>
    </row>
    <row r="41" spans="1:13">
      <c r="A41" s="7">
        <v>0.8413194444444444</v>
      </c>
      <c r="B41" s="4" t="s">
        <v>21</v>
      </c>
      <c r="C41" s="4" t="s">
        <v>8</v>
      </c>
      <c r="D41" s="12">
        <v>73534</v>
      </c>
      <c r="E41" s="12">
        <v>3</v>
      </c>
      <c r="F41" s="13">
        <f t="shared" si="0"/>
        <v>-220602</v>
      </c>
      <c r="H41" s="24">
        <v>0.35363425925925923</v>
      </c>
      <c r="I41" t="s">
        <v>14</v>
      </c>
      <c r="J41" t="s">
        <v>8</v>
      </c>
      <c r="K41">
        <v>2.5430000000000001</v>
      </c>
      <c r="L41">
        <v>4</v>
      </c>
      <c r="M41">
        <f t="shared" si="1"/>
        <v>-10.172000000000001</v>
      </c>
    </row>
    <row r="42" spans="1:13">
      <c r="A42" s="7">
        <v>0.8413194444444444</v>
      </c>
      <c r="B42" s="4" t="s">
        <v>23</v>
      </c>
      <c r="C42" s="4" t="s">
        <v>7</v>
      </c>
      <c r="D42" s="12">
        <v>72761</v>
      </c>
      <c r="E42" s="12">
        <v>3</v>
      </c>
      <c r="F42" s="13">
        <f t="shared" si="0"/>
        <v>218283</v>
      </c>
      <c r="H42" s="24">
        <v>0.35359953703703706</v>
      </c>
      <c r="I42" t="s">
        <v>14</v>
      </c>
      <c r="J42" t="s">
        <v>8</v>
      </c>
      <c r="K42">
        <v>2.5430000000000001</v>
      </c>
      <c r="L42">
        <v>4</v>
      </c>
      <c r="M42">
        <f t="shared" si="1"/>
        <v>-10.172000000000001</v>
      </c>
    </row>
    <row r="43" spans="1:13">
      <c r="A43" s="7">
        <v>0.8413194444444444</v>
      </c>
      <c r="B43" s="4" t="s">
        <v>21</v>
      </c>
      <c r="C43" s="4" t="s">
        <v>8</v>
      </c>
      <c r="D43" s="12">
        <v>73534</v>
      </c>
      <c r="E43" s="12">
        <v>2</v>
      </c>
      <c r="F43" s="13">
        <f t="shared" si="0"/>
        <v>-147068</v>
      </c>
      <c r="H43" s="24">
        <v>0.35359953703703706</v>
      </c>
      <c r="I43" t="s">
        <v>14</v>
      </c>
      <c r="J43" t="s">
        <v>8</v>
      </c>
      <c r="K43">
        <v>2.5430000000000001</v>
      </c>
      <c r="L43">
        <v>4</v>
      </c>
      <c r="M43">
        <f t="shared" si="1"/>
        <v>-10.172000000000001</v>
      </c>
    </row>
    <row r="44" spans="1:13">
      <c r="A44" s="7">
        <v>0.8413194444444444</v>
      </c>
      <c r="B44" s="4" t="s">
        <v>21</v>
      </c>
      <c r="C44" s="4" t="s">
        <v>8</v>
      </c>
      <c r="D44" s="12">
        <v>73534</v>
      </c>
      <c r="E44" s="12">
        <v>1</v>
      </c>
      <c r="F44" s="13">
        <f t="shared" si="0"/>
        <v>-73534</v>
      </c>
      <c r="H44" s="24">
        <v>0.35359953703703706</v>
      </c>
      <c r="I44" t="s">
        <v>14</v>
      </c>
      <c r="J44" t="s">
        <v>8</v>
      </c>
      <c r="K44">
        <v>2.5430000000000001</v>
      </c>
      <c r="L44">
        <v>4</v>
      </c>
      <c r="M44">
        <f t="shared" si="1"/>
        <v>-10.172000000000001</v>
      </c>
    </row>
    <row r="45" spans="1:13">
      <c r="A45" s="7">
        <v>0.8413194444444444</v>
      </c>
      <c r="B45" s="4" t="s">
        <v>23</v>
      </c>
      <c r="C45" s="4" t="s">
        <v>7</v>
      </c>
      <c r="D45" s="12">
        <v>72761</v>
      </c>
      <c r="E45" s="12">
        <v>2</v>
      </c>
      <c r="F45" s="13">
        <f t="shared" si="0"/>
        <v>145522</v>
      </c>
      <c r="H45" s="24">
        <v>0.35359953703703706</v>
      </c>
      <c r="I45" t="s">
        <v>14</v>
      </c>
      <c r="J45" t="s">
        <v>8</v>
      </c>
      <c r="K45">
        <v>2.5430000000000001</v>
      </c>
      <c r="L45">
        <v>4</v>
      </c>
      <c r="M45">
        <f t="shared" si="1"/>
        <v>-10.172000000000001</v>
      </c>
    </row>
    <row r="46" spans="1:13">
      <c r="A46" s="7">
        <v>0.8413194444444444</v>
      </c>
      <c r="B46" s="4" t="s">
        <v>23</v>
      </c>
      <c r="C46" s="4" t="s">
        <v>7</v>
      </c>
      <c r="D46" s="12">
        <v>72761</v>
      </c>
      <c r="E46" s="12">
        <v>1</v>
      </c>
      <c r="F46" s="13">
        <f t="shared" si="0"/>
        <v>72761</v>
      </c>
      <c r="H46" s="24">
        <v>0.35358796296296297</v>
      </c>
      <c r="I46" t="s">
        <v>14</v>
      </c>
      <c r="J46" t="s">
        <v>8</v>
      </c>
      <c r="K46">
        <v>2.5430000000000001</v>
      </c>
      <c r="L46">
        <v>4</v>
      </c>
      <c r="M46">
        <f t="shared" si="1"/>
        <v>-10.172000000000001</v>
      </c>
    </row>
    <row r="47" spans="1:13">
      <c r="A47" s="7">
        <v>0.8411805555555556</v>
      </c>
      <c r="B47" s="4" t="s">
        <v>21</v>
      </c>
      <c r="C47" s="4" t="s">
        <v>8</v>
      </c>
      <c r="D47" s="12">
        <v>73539</v>
      </c>
      <c r="E47" s="12">
        <v>1</v>
      </c>
      <c r="F47" s="13">
        <f t="shared" si="0"/>
        <v>-73539</v>
      </c>
      <c r="H47" s="24">
        <v>0.35358796296296297</v>
      </c>
      <c r="I47" t="s">
        <v>14</v>
      </c>
      <c r="J47" t="s">
        <v>8</v>
      </c>
      <c r="K47">
        <v>2.5430000000000001</v>
      </c>
      <c r="L47">
        <v>4</v>
      </c>
      <c r="M47">
        <f t="shared" si="1"/>
        <v>-10.172000000000001</v>
      </c>
    </row>
    <row r="48" spans="1:13">
      <c r="A48" s="7">
        <v>0.8411805555555556</v>
      </c>
      <c r="B48" s="4" t="s">
        <v>21</v>
      </c>
      <c r="C48" s="4" t="s">
        <v>8</v>
      </c>
      <c r="D48" s="12">
        <v>73540</v>
      </c>
      <c r="E48" s="12">
        <v>2</v>
      </c>
      <c r="F48" s="13">
        <f t="shared" si="0"/>
        <v>-147080</v>
      </c>
      <c r="H48" s="24">
        <v>0.35358796296296297</v>
      </c>
      <c r="I48" t="s">
        <v>14</v>
      </c>
      <c r="J48" t="s">
        <v>8</v>
      </c>
      <c r="K48">
        <v>2.5430000000000001</v>
      </c>
      <c r="L48">
        <v>4</v>
      </c>
      <c r="M48">
        <f t="shared" si="1"/>
        <v>-10.172000000000001</v>
      </c>
    </row>
    <row r="49" spans="1:13">
      <c r="A49" s="7">
        <v>0.8411805555555556</v>
      </c>
      <c r="B49" s="4" t="s">
        <v>23</v>
      </c>
      <c r="C49" s="4" t="s">
        <v>7</v>
      </c>
      <c r="D49" s="12">
        <v>72762</v>
      </c>
      <c r="E49" s="12">
        <v>1</v>
      </c>
      <c r="F49" s="13">
        <f t="shared" si="0"/>
        <v>72762</v>
      </c>
      <c r="H49" s="24">
        <v>0.35357638888888893</v>
      </c>
      <c r="I49" t="s">
        <v>14</v>
      </c>
      <c r="J49" t="s">
        <v>8</v>
      </c>
      <c r="K49">
        <v>2.5430000000000001</v>
      </c>
      <c r="L49">
        <v>4</v>
      </c>
      <c r="M49">
        <f t="shared" si="1"/>
        <v>-10.172000000000001</v>
      </c>
    </row>
    <row r="50" spans="1:13">
      <c r="A50" s="7">
        <v>0.8411805555555556</v>
      </c>
      <c r="B50" s="4" t="s">
        <v>23</v>
      </c>
      <c r="C50" s="4" t="s">
        <v>7</v>
      </c>
      <c r="D50" s="12">
        <v>72762</v>
      </c>
      <c r="E50" s="12">
        <v>2</v>
      </c>
      <c r="F50" s="13">
        <f t="shared" si="0"/>
        <v>145524</v>
      </c>
      <c r="H50" s="24">
        <v>0.35357638888888893</v>
      </c>
      <c r="I50" t="s">
        <v>14</v>
      </c>
      <c r="J50" t="s">
        <v>8</v>
      </c>
      <c r="K50">
        <v>2.5430000000000001</v>
      </c>
      <c r="L50">
        <v>4</v>
      </c>
      <c r="M50">
        <f t="shared" si="1"/>
        <v>-10.172000000000001</v>
      </c>
    </row>
    <row r="51" spans="1:13">
      <c r="A51" s="7">
        <v>0.8411805555555556</v>
      </c>
      <c r="B51" s="4" t="s">
        <v>21</v>
      </c>
      <c r="C51" s="4" t="s">
        <v>8</v>
      </c>
      <c r="D51" s="12">
        <v>73535</v>
      </c>
      <c r="E51" s="12">
        <v>3</v>
      </c>
      <c r="F51" s="13">
        <f t="shared" si="0"/>
        <v>-220605</v>
      </c>
      <c r="H51" s="24">
        <v>0.35357638888888893</v>
      </c>
      <c r="I51" t="s">
        <v>14</v>
      </c>
      <c r="J51" t="s">
        <v>8</v>
      </c>
      <c r="K51">
        <v>2.5430000000000001</v>
      </c>
      <c r="L51">
        <v>4</v>
      </c>
      <c r="M51">
        <f t="shared" si="1"/>
        <v>-10.172000000000001</v>
      </c>
    </row>
    <row r="52" spans="1:13">
      <c r="A52" s="7">
        <v>0.8411805555555556</v>
      </c>
      <c r="B52" s="4" t="s">
        <v>23</v>
      </c>
      <c r="C52" s="4" t="s">
        <v>7</v>
      </c>
      <c r="D52" s="12">
        <v>72762</v>
      </c>
      <c r="E52" s="12">
        <v>3</v>
      </c>
      <c r="F52" s="13">
        <f t="shared" si="0"/>
        <v>218286</v>
      </c>
      <c r="H52" s="24">
        <v>0.35357638888888893</v>
      </c>
      <c r="I52" t="s">
        <v>14</v>
      </c>
      <c r="J52" t="s">
        <v>8</v>
      </c>
      <c r="K52">
        <v>2.5430000000000001</v>
      </c>
      <c r="L52">
        <v>2</v>
      </c>
      <c r="M52">
        <f t="shared" si="1"/>
        <v>-5.0860000000000003</v>
      </c>
    </row>
    <row r="53" spans="1:13">
      <c r="A53" s="7">
        <v>0.84075231481481483</v>
      </c>
      <c r="B53" s="4" t="s">
        <v>21</v>
      </c>
      <c r="C53" s="4" t="s">
        <v>8</v>
      </c>
      <c r="D53" s="12">
        <v>73535</v>
      </c>
      <c r="E53" s="12">
        <v>2</v>
      </c>
      <c r="F53" s="13">
        <f t="shared" si="0"/>
        <v>-147070</v>
      </c>
      <c r="H53" s="24">
        <v>0.35356481481481478</v>
      </c>
      <c r="I53" t="s">
        <v>14</v>
      </c>
      <c r="J53" t="s">
        <v>8</v>
      </c>
      <c r="K53">
        <v>2.544</v>
      </c>
      <c r="L53">
        <v>3</v>
      </c>
      <c r="M53">
        <f t="shared" si="1"/>
        <v>-7.6319999999999997</v>
      </c>
    </row>
    <row r="54" spans="1:13">
      <c r="A54" s="7">
        <v>0.84075231481481483</v>
      </c>
      <c r="B54" s="4" t="s">
        <v>21</v>
      </c>
      <c r="C54" s="4" t="s">
        <v>8</v>
      </c>
      <c r="D54" s="12">
        <v>73535</v>
      </c>
      <c r="E54" s="12">
        <v>1</v>
      </c>
      <c r="F54" s="13">
        <f t="shared" si="0"/>
        <v>-73535</v>
      </c>
      <c r="H54" s="24">
        <v>0.35356481481481478</v>
      </c>
      <c r="I54" t="s">
        <v>14</v>
      </c>
      <c r="J54" t="s">
        <v>8</v>
      </c>
      <c r="K54">
        <v>2.5449999999999999</v>
      </c>
      <c r="L54">
        <v>1</v>
      </c>
      <c r="M54">
        <f t="shared" si="1"/>
        <v>-2.5449999999999999</v>
      </c>
    </row>
    <row r="55" spans="1:13">
      <c r="A55" s="7">
        <v>0.84075231481481483</v>
      </c>
      <c r="B55" s="4" t="s">
        <v>23</v>
      </c>
      <c r="C55" s="4" t="s">
        <v>7</v>
      </c>
      <c r="D55" s="12">
        <v>72762</v>
      </c>
      <c r="E55" s="12">
        <v>2</v>
      </c>
      <c r="F55" s="13">
        <f t="shared" si="0"/>
        <v>145524</v>
      </c>
      <c r="H55" s="24">
        <v>0.35356481481481478</v>
      </c>
      <c r="I55" t="s">
        <v>14</v>
      </c>
      <c r="J55" t="s">
        <v>8</v>
      </c>
      <c r="K55">
        <v>2.5449999999999999</v>
      </c>
      <c r="L55">
        <v>1</v>
      </c>
      <c r="M55">
        <f t="shared" si="1"/>
        <v>-2.5449999999999999</v>
      </c>
    </row>
    <row r="56" spans="1:13">
      <c r="A56" s="7">
        <v>0.84075231481481483</v>
      </c>
      <c r="B56" s="4" t="s">
        <v>23</v>
      </c>
      <c r="C56" s="4" t="s">
        <v>7</v>
      </c>
      <c r="D56" s="12">
        <v>72762</v>
      </c>
      <c r="E56" s="12">
        <v>1</v>
      </c>
      <c r="F56" s="13">
        <f t="shared" si="0"/>
        <v>72762</v>
      </c>
      <c r="H56" s="24">
        <v>0.35356481481481478</v>
      </c>
      <c r="I56" t="s">
        <v>14</v>
      </c>
      <c r="J56" t="s">
        <v>8</v>
      </c>
      <c r="K56">
        <v>2.5449999999999999</v>
      </c>
      <c r="L56">
        <v>1</v>
      </c>
      <c r="M56">
        <f t="shared" si="1"/>
        <v>-2.5449999999999999</v>
      </c>
    </row>
    <row r="57" spans="1:13">
      <c r="A57" s="7">
        <v>0.84065972222222218</v>
      </c>
      <c r="B57" s="4" t="s">
        <v>21</v>
      </c>
      <c r="C57" s="4" t="s">
        <v>8</v>
      </c>
      <c r="D57" s="12">
        <v>73535</v>
      </c>
      <c r="E57" s="12">
        <v>3</v>
      </c>
      <c r="F57" s="13">
        <f t="shared" si="0"/>
        <v>-220605</v>
      </c>
      <c r="H57" s="24">
        <v>0.35356481481481478</v>
      </c>
      <c r="I57" t="s">
        <v>14</v>
      </c>
      <c r="J57" t="s">
        <v>8</v>
      </c>
      <c r="K57">
        <v>2.5459999999999998</v>
      </c>
      <c r="L57">
        <v>1</v>
      </c>
      <c r="M57">
        <f t="shared" si="1"/>
        <v>-2.5459999999999998</v>
      </c>
    </row>
    <row r="58" spans="1:13">
      <c r="A58" s="7">
        <v>0.84065972222222218</v>
      </c>
      <c r="B58" s="4" t="s">
        <v>23</v>
      </c>
      <c r="C58" s="4" t="s">
        <v>7</v>
      </c>
      <c r="D58" s="12">
        <v>72762</v>
      </c>
      <c r="E58" s="12">
        <v>3</v>
      </c>
      <c r="F58" s="13">
        <f t="shared" si="0"/>
        <v>218286</v>
      </c>
      <c r="H58" s="24">
        <v>0.35355324074074074</v>
      </c>
      <c r="I58" t="s">
        <v>14</v>
      </c>
      <c r="J58" t="s">
        <v>8</v>
      </c>
      <c r="K58">
        <v>2.5459999999999998</v>
      </c>
      <c r="L58">
        <v>2</v>
      </c>
      <c r="M58">
        <f t="shared" si="1"/>
        <v>-5.0919999999999996</v>
      </c>
    </row>
    <row r="59" spans="1:13">
      <c r="A59" s="7">
        <v>0.84065972222222218</v>
      </c>
      <c r="B59" s="4" t="s">
        <v>21</v>
      </c>
      <c r="C59" s="4" t="s">
        <v>8</v>
      </c>
      <c r="D59" s="12">
        <v>73535</v>
      </c>
      <c r="E59" s="12">
        <v>3</v>
      </c>
      <c r="F59" s="13">
        <f t="shared" si="0"/>
        <v>-220605</v>
      </c>
      <c r="H59" s="24">
        <v>0.35033564814814816</v>
      </c>
      <c r="I59" t="s">
        <v>14</v>
      </c>
      <c r="J59" t="s">
        <v>8</v>
      </c>
      <c r="K59">
        <v>2.5499999999999998</v>
      </c>
      <c r="L59">
        <v>1</v>
      </c>
      <c r="M59">
        <f t="shared" si="1"/>
        <v>-2.5499999999999998</v>
      </c>
    </row>
    <row r="60" spans="1:13">
      <c r="A60" s="7">
        <v>0.84065972222222218</v>
      </c>
      <c r="B60" s="4" t="s">
        <v>23</v>
      </c>
      <c r="C60" s="4" t="s">
        <v>7</v>
      </c>
      <c r="D60" s="12">
        <v>72762</v>
      </c>
      <c r="E60" s="12">
        <v>3</v>
      </c>
      <c r="F60" s="13">
        <f t="shared" si="0"/>
        <v>218286</v>
      </c>
      <c r="H60" s="24">
        <v>0.35033564814814816</v>
      </c>
      <c r="I60" t="s">
        <v>14</v>
      </c>
      <c r="J60" t="s">
        <v>8</v>
      </c>
      <c r="K60">
        <v>2.5499999999999998</v>
      </c>
      <c r="L60">
        <v>1</v>
      </c>
      <c r="M60">
        <f t="shared" si="1"/>
        <v>-2.5499999999999998</v>
      </c>
    </row>
    <row r="61" spans="1:13">
      <c r="A61" s="7">
        <v>0.84065972222222218</v>
      </c>
      <c r="B61" s="4" t="s">
        <v>21</v>
      </c>
      <c r="C61" s="4" t="s">
        <v>8</v>
      </c>
      <c r="D61" s="12">
        <v>73535</v>
      </c>
      <c r="E61" s="12">
        <v>3</v>
      </c>
      <c r="F61" s="13">
        <f t="shared" si="0"/>
        <v>-220605</v>
      </c>
      <c r="H61" s="24">
        <v>0.35033564814814816</v>
      </c>
      <c r="I61" t="s">
        <v>14</v>
      </c>
      <c r="J61" t="s">
        <v>8</v>
      </c>
      <c r="K61">
        <v>2.5489999999999999</v>
      </c>
      <c r="L61">
        <v>1</v>
      </c>
      <c r="M61">
        <f t="shared" si="1"/>
        <v>-2.5489999999999999</v>
      </c>
    </row>
    <row r="62" spans="1:13">
      <c r="A62" s="7">
        <v>0.84065972222222218</v>
      </c>
      <c r="B62" s="4" t="s">
        <v>23</v>
      </c>
      <c r="C62" s="4" t="s">
        <v>7</v>
      </c>
      <c r="D62" s="12">
        <v>72762</v>
      </c>
      <c r="E62" s="12">
        <v>3</v>
      </c>
      <c r="F62" s="13">
        <f t="shared" si="0"/>
        <v>218286</v>
      </c>
      <c r="H62" s="24">
        <v>0.35033564814814816</v>
      </c>
      <c r="I62" t="s">
        <v>14</v>
      </c>
      <c r="J62" t="s">
        <v>8</v>
      </c>
      <c r="K62">
        <v>2.5489999999999999</v>
      </c>
      <c r="L62">
        <v>1</v>
      </c>
      <c r="M62">
        <f t="shared" si="1"/>
        <v>-2.5489999999999999</v>
      </c>
    </row>
    <row r="63" spans="1:13">
      <c r="A63" s="7">
        <v>0.84065972222222218</v>
      </c>
      <c r="B63" s="4" t="s">
        <v>21</v>
      </c>
      <c r="C63" s="4" t="s">
        <v>8</v>
      </c>
      <c r="D63" s="12">
        <v>73535</v>
      </c>
      <c r="E63" s="12">
        <v>3</v>
      </c>
      <c r="F63" s="13">
        <f t="shared" si="0"/>
        <v>-220605</v>
      </c>
      <c r="H63" s="24">
        <v>0.35033564814814816</v>
      </c>
      <c r="I63" t="s">
        <v>14</v>
      </c>
      <c r="J63" t="s">
        <v>8</v>
      </c>
      <c r="K63">
        <v>2.548</v>
      </c>
      <c r="L63">
        <v>1</v>
      </c>
      <c r="M63">
        <f t="shared" si="1"/>
        <v>-2.548</v>
      </c>
    </row>
    <row r="64" spans="1:13">
      <c r="A64" s="7">
        <v>0.84065972222222218</v>
      </c>
      <c r="B64" s="4" t="s">
        <v>23</v>
      </c>
      <c r="C64" s="4" t="s">
        <v>7</v>
      </c>
      <c r="D64" s="12">
        <v>72762</v>
      </c>
      <c r="E64" s="12">
        <v>3</v>
      </c>
      <c r="F64" s="13">
        <f t="shared" si="0"/>
        <v>218286</v>
      </c>
      <c r="H64" s="24">
        <v>0.35033564814814816</v>
      </c>
      <c r="I64" t="s">
        <v>14</v>
      </c>
      <c r="J64" t="s">
        <v>8</v>
      </c>
      <c r="K64">
        <v>2.5470000000000002</v>
      </c>
      <c r="L64">
        <v>2</v>
      </c>
      <c r="M64">
        <f t="shared" si="1"/>
        <v>-5.0940000000000003</v>
      </c>
    </row>
    <row r="65" spans="1:13">
      <c r="A65" s="7">
        <v>0.84065972222222218</v>
      </c>
      <c r="B65" s="4" t="s">
        <v>21</v>
      </c>
      <c r="C65" s="4" t="s">
        <v>8</v>
      </c>
      <c r="D65" s="12">
        <v>73535</v>
      </c>
      <c r="E65" s="12">
        <v>3</v>
      </c>
      <c r="F65" s="13">
        <f t="shared" si="0"/>
        <v>-220605</v>
      </c>
      <c r="H65" s="24">
        <v>0.34643518518518518</v>
      </c>
      <c r="I65" t="s">
        <v>14</v>
      </c>
      <c r="J65" t="s">
        <v>8</v>
      </c>
      <c r="K65">
        <v>2.5449999999999999</v>
      </c>
      <c r="L65">
        <v>1</v>
      </c>
      <c r="M65">
        <f t="shared" si="1"/>
        <v>-2.5449999999999999</v>
      </c>
    </row>
    <row r="66" spans="1:13">
      <c r="A66" s="7">
        <v>0.84065972222222218</v>
      </c>
      <c r="B66" s="4" t="s">
        <v>23</v>
      </c>
      <c r="C66" s="4" t="s">
        <v>7</v>
      </c>
      <c r="D66" s="12">
        <v>72762</v>
      </c>
      <c r="E66" s="12">
        <v>3</v>
      </c>
      <c r="F66" s="13">
        <f t="shared" si="0"/>
        <v>218286</v>
      </c>
      <c r="H66" s="24">
        <v>0.34533564814814816</v>
      </c>
      <c r="I66" t="s">
        <v>14</v>
      </c>
      <c r="J66" t="s">
        <v>8</v>
      </c>
      <c r="K66">
        <v>2.5449999999999999</v>
      </c>
      <c r="L66">
        <v>1</v>
      </c>
      <c r="M66">
        <f t="shared" si="1"/>
        <v>-2.5449999999999999</v>
      </c>
    </row>
    <row r="67" spans="1:13">
      <c r="A67" s="7">
        <v>0.84065972222222218</v>
      </c>
      <c r="B67" s="4" t="s">
        <v>21</v>
      </c>
      <c r="C67" s="4" t="s">
        <v>8</v>
      </c>
      <c r="D67" s="12">
        <v>73535</v>
      </c>
      <c r="E67" s="12">
        <v>3</v>
      </c>
      <c r="F67" s="13">
        <f t="shared" si="0"/>
        <v>-220605</v>
      </c>
      <c r="H67" s="24">
        <v>0.34491898148148148</v>
      </c>
      <c r="I67" t="s">
        <v>14</v>
      </c>
      <c r="J67" t="s">
        <v>8</v>
      </c>
      <c r="K67">
        <v>2.5449999999999999</v>
      </c>
      <c r="L67">
        <v>1</v>
      </c>
      <c r="M67">
        <f t="shared" ref="M67:M90" si="2">IF(J67="Продажа",K67*L67,-K67*L67)</f>
        <v>-2.5449999999999999</v>
      </c>
    </row>
    <row r="68" spans="1:13">
      <c r="A68" s="7">
        <v>0.84065972222222218</v>
      </c>
      <c r="B68" s="4" t="s">
        <v>23</v>
      </c>
      <c r="C68" s="4" t="s">
        <v>7</v>
      </c>
      <c r="D68" s="12">
        <v>72762</v>
      </c>
      <c r="E68" s="12">
        <v>3</v>
      </c>
      <c r="F68" s="13">
        <f t="shared" si="0"/>
        <v>218286</v>
      </c>
      <c r="H68" s="24">
        <v>0.34457175925925926</v>
      </c>
      <c r="I68" t="s">
        <v>14</v>
      </c>
      <c r="J68" t="s">
        <v>8</v>
      </c>
      <c r="K68">
        <v>2.5470000000000002</v>
      </c>
      <c r="L68">
        <v>3</v>
      </c>
      <c r="M68">
        <f t="shared" si="2"/>
        <v>-7.641</v>
      </c>
    </row>
    <row r="69" spans="1:13">
      <c r="A69" s="7">
        <v>0.84065972222222218</v>
      </c>
      <c r="B69" s="4" t="s">
        <v>21</v>
      </c>
      <c r="C69" s="4" t="s">
        <v>8</v>
      </c>
      <c r="D69" s="12">
        <v>73535</v>
      </c>
      <c r="E69" s="12">
        <v>3</v>
      </c>
      <c r="F69" s="13">
        <f t="shared" si="0"/>
        <v>-220605</v>
      </c>
      <c r="H69" s="24">
        <v>0.33892361111111113</v>
      </c>
      <c r="I69" t="s">
        <v>14</v>
      </c>
      <c r="J69" t="s">
        <v>8</v>
      </c>
      <c r="K69">
        <v>2.5499999999999998</v>
      </c>
      <c r="L69">
        <v>2</v>
      </c>
      <c r="M69">
        <f t="shared" si="2"/>
        <v>-5.0999999999999996</v>
      </c>
    </row>
    <row r="70" spans="1:13">
      <c r="A70" s="7">
        <v>0.84065972222222218</v>
      </c>
      <c r="B70" s="4" t="s">
        <v>23</v>
      </c>
      <c r="C70" s="4" t="s">
        <v>7</v>
      </c>
      <c r="D70" s="12">
        <v>72762</v>
      </c>
      <c r="E70" s="12">
        <v>3</v>
      </c>
      <c r="F70" s="13">
        <f t="shared" si="0"/>
        <v>218286</v>
      </c>
      <c r="H70" s="24">
        <v>0.33892361111111113</v>
      </c>
      <c r="I70" t="s">
        <v>14</v>
      </c>
      <c r="J70" t="s">
        <v>8</v>
      </c>
      <c r="K70">
        <v>2.5499999999999998</v>
      </c>
      <c r="L70">
        <v>2</v>
      </c>
      <c r="M70">
        <f t="shared" si="2"/>
        <v>-5.0999999999999996</v>
      </c>
    </row>
    <row r="71" spans="1:13">
      <c r="A71" s="7">
        <v>0.84065972222222218</v>
      </c>
      <c r="B71" s="4" t="s">
        <v>21</v>
      </c>
      <c r="C71" s="4" t="s">
        <v>8</v>
      </c>
      <c r="D71" s="12">
        <v>73535</v>
      </c>
      <c r="E71" s="12">
        <v>3</v>
      </c>
      <c r="F71" s="13">
        <f t="shared" si="0"/>
        <v>-220605</v>
      </c>
      <c r="H71" s="24">
        <v>0.33291666666666669</v>
      </c>
      <c r="I71" t="s">
        <v>14</v>
      </c>
      <c r="J71" t="s">
        <v>8</v>
      </c>
      <c r="K71">
        <v>2.5499999999999998</v>
      </c>
      <c r="L71">
        <v>3</v>
      </c>
      <c r="M71">
        <f t="shared" si="2"/>
        <v>-7.6499999999999995</v>
      </c>
    </row>
    <row r="72" spans="1:13">
      <c r="A72" s="7">
        <v>0.84065972222222218</v>
      </c>
      <c r="B72" s="4" t="s">
        <v>23</v>
      </c>
      <c r="C72" s="4" t="s">
        <v>7</v>
      </c>
      <c r="D72" s="12">
        <v>72762</v>
      </c>
      <c r="E72" s="12">
        <v>3</v>
      </c>
      <c r="F72" s="13">
        <f t="shared" si="0"/>
        <v>218286</v>
      </c>
      <c r="H72" s="24">
        <v>0.3278935185185185</v>
      </c>
      <c r="I72" t="s">
        <v>14</v>
      </c>
      <c r="J72" t="s">
        <v>7</v>
      </c>
      <c r="K72">
        <v>2.5539999999999998</v>
      </c>
      <c r="L72">
        <v>66</v>
      </c>
      <c r="M72">
        <f t="shared" si="2"/>
        <v>168.56399999999999</v>
      </c>
    </row>
    <row r="73" spans="1:13">
      <c r="A73" s="7">
        <v>0.84065972222222218</v>
      </c>
      <c r="B73" s="4" t="s">
        <v>21</v>
      </c>
      <c r="C73" s="4" t="s">
        <v>8</v>
      </c>
      <c r="D73" s="12">
        <v>73535</v>
      </c>
      <c r="E73" s="12">
        <v>1</v>
      </c>
      <c r="F73" s="13">
        <f t="shared" si="0"/>
        <v>-73535</v>
      </c>
      <c r="H73" s="24">
        <v>0.30275462962962962</v>
      </c>
      <c r="I73" t="s">
        <v>18</v>
      </c>
      <c r="J73" t="s">
        <v>8</v>
      </c>
      <c r="K73">
        <v>1735.8</v>
      </c>
      <c r="L73">
        <v>3</v>
      </c>
      <c r="M73">
        <f t="shared" si="2"/>
        <v>-5207.3999999999996</v>
      </c>
    </row>
    <row r="74" spans="1:13">
      <c r="A74" s="7">
        <v>0.84065972222222218</v>
      </c>
      <c r="B74" s="4" t="s">
        <v>23</v>
      </c>
      <c r="C74" s="4" t="s">
        <v>7</v>
      </c>
      <c r="D74" s="12">
        <v>72762</v>
      </c>
      <c r="E74" s="12">
        <v>1</v>
      </c>
      <c r="F74" s="13">
        <f t="shared" si="0"/>
        <v>72762</v>
      </c>
      <c r="H74" s="24">
        <v>0.3027199074074074</v>
      </c>
      <c r="I74" t="s">
        <v>18</v>
      </c>
      <c r="J74" t="s">
        <v>8</v>
      </c>
      <c r="K74">
        <v>1735.8</v>
      </c>
      <c r="L74">
        <v>1</v>
      </c>
      <c r="M74">
        <f t="shared" si="2"/>
        <v>-1735.8</v>
      </c>
    </row>
    <row r="75" spans="1:13">
      <c r="A75" s="7">
        <v>0.84065972222222218</v>
      </c>
      <c r="B75" s="4" t="s">
        <v>21</v>
      </c>
      <c r="C75" s="4" t="s">
        <v>8</v>
      </c>
      <c r="D75" s="12">
        <v>73535</v>
      </c>
      <c r="E75" s="12">
        <v>2</v>
      </c>
      <c r="F75" s="13">
        <f t="shared" si="0"/>
        <v>-147070</v>
      </c>
      <c r="H75" s="24">
        <v>0.30192129629629633</v>
      </c>
      <c r="I75" t="s">
        <v>18</v>
      </c>
      <c r="J75" t="s">
        <v>8</v>
      </c>
      <c r="K75">
        <v>1735.8</v>
      </c>
      <c r="L75">
        <v>7</v>
      </c>
      <c r="M75">
        <f t="shared" si="2"/>
        <v>-12150.6</v>
      </c>
    </row>
    <row r="76" spans="1:13">
      <c r="A76" s="7">
        <v>0.84065972222222218</v>
      </c>
      <c r="B76" s="4" t="s">
        <v>23</v>
      </c>
      <c r="C76" s="4" t="s">
        <v>7</v>
      </c>
      <c r="D76" s="12">
        <v>72762</v>
      </c>
      <c r="E76" s="12">
        <v>2</v>
      </c>
      <c r="F76" s="13">
        <f t="shared" si="0"/>
        <v>145524</v>
      </c>
      <c r="H76" s="24">
        <v>0.301875</v>
      </c>
      <c r="I76" t="s">
        <v>18</v>
      </c>
      <c r="J76" t="s">
        <v>8</v>
      </c>
      <c r="K76">
        <v>1735.8</v>
      </c>
      <c r="L76">
        <v>2</v>
      </c>
      <c r="M76">
        <f t="shared" si="2"/>
        <v>-3471.6</v>
      </c>
    </row>
    <row r="77" spans="1:13">
      <c r="A77" s="7">
        <v>0.84065972222222218</v>
      </c>
      <c r="B77" s="4" t="s">
        <v>21</v>
      </c>
      <c r="C77" s="4" t="s">
        <v>8</v>
      </c>
      <c r="D77" s="12">
        <v>73535</v>
      </c>
      <c r="E77" s="12">
        <v>3</v>
      </c>
      <c r="F77" s="13">
        <f t="shared" si="0"/>
        <v>-220605</v>
      </c>
      <c r="H77" s="24">
        <v>0.30170138888888892</v>
      </c>
      <c r="I77" t="s">
        <v>18</v>
      </c>
      <c r="J77" t="s">
        <v>8</v>
      </c>
      <c r="K77">
        <v>1736</v>
      </c>
      <c r="L77">
        <v>10</v>
      </c>
      <c r="M77">
        <f t="shared" si="2"/>
        <v>-17360</v>
      </c>
    </row>
    <row r="78" spans="1:13">
      <c r="A78" s="7">
        <v>0.84065972222222218</v>
      </c>
      <c r="B78" s="4" t="s">
        <v>23</v>
      </c>
      <c r="C78" s="4" t="s">
        <v>7</v>
      </c>
      <c r="D78" s="12">
        <v>72762</v>
      </c>
      <c r="E78" s="12">
        <v>3</v>
      </c>
      <c r="F78" s="13">
        <f t="shared" si="0"/>
        <v>218286</v>
      </c>
      <c r="H78" s="24">
        <v>0.30164351851851851</v>
      </c>
      <c r="I78" t="s">
        <v>18</v>
      </c>
      <c r="J78" t="s">
        <v>8</v>
      </c>
      <c r="K78">
        <v>1736</v>
      </c>
      <c r="L78">
        <v>3</v>
      </c>
      <c r="M78">
        <f t="shared" si="2"/>
        <v>-5208</v>
      </c>
    </row>
    <row r="79" spans="1:13">
      <c r="A79" s="7">
        <v>0.84065972222222218</v>
      </c>
      <c r="B79" s="4" t="s">
        <v>21</v>
      </c>
      <c r="C79" s="4" t="s">
        <v>8</v>
      </c>
      <c r="D79" s="12">
        <v>73535</v>
      </c>
      <c r="E79" s="12">
        <v>3</v>
      </c>
      <c r="F79" s="13">
        <f t="shared" si="0"/>
        <v>-220605</v>
      </c>
      <c r="H79" s="24">
        <v>0.30151620370370369</v>
      </c>
      <c r="I79" t="s">
        <v>18</v>
      </c>
      <c r="J79" t="s">
        <v>8</v>
      </c>
      <c r="K79">
        <v>1736</v>
      </c>
      <c r="L79">
        <v>1</v>
      </c>
      <c r="M79">
        <f t="shared" si="2"/>
        <v>-1736</v>
      </c>
    </row>
    <row r="80" spans="1:13">
      <c r="A80" s="7">
        <v>0.84065972222222218</v>
      </c>
      <c r="B80" s="4" t="s">
        <v>23</v>
      </c>
      <c r="C80" s="4" t="s">
        <v>7</v>
      </c>
      <c r="D80" s="12">
        <v>72762</v>
      </c>
      <c r="E80" s="12">
        <v>3</v>
      </c>
      <c r="F80" s="13">
        <f t="shared" si="0"/>
        <v>218286</v>
      </c>
      <c r="H80" s="24">
        <v>0.30150462962962959</v>
      </c>
      <c r="I80" t="s">
        <v>18</v>
      </c>
      <c r="J80" t="s">
        <v>8</v>
      </c>
      <c r="K80">
        <v>1736</v>
      </c>
      <c r="L80">
        <v>1</v>
      </c>
      <c r="M80">
        <f t="shared" si="2"/>
        <v>-1736</v>
      </c>
    </row>
    <row r="81" spans="1:13">
      <c r="A81" s="7">
        <v>0.84065972222222218</v>
      </c>
      <c r="B81" s="4" t="s">
        <v>21</v>
      </c>
      <c r="C81" s="4" t="s">
        <v>8</v>
      </c>
      <c r="D81" s="12">
        <v>73535</v>
      </c>
      <c r="E81" s="12">
        <v>2</v>
      </c>
      <c r="F81" s="13">
        <f t="shared" si="0"/>
        <v>-147070</v>
      </c>
      <c r="H81" s="24">
        <v>0.30148148148148152</v>
      </c>
      <c r="I81" t="s">
        <v>18</v>
      </c>
      <c r="J81" t="s">
        <v>8</v>
      </c>
      <c r="K81">
        <v>1736</v>
      </c>
      <c r="L81">
        <v>7</v>
      </c>
      <c r="M81">
        <f t="shared" si="2"/>
        <v>-12152</v>
      </c>
    </row>
    <row r="82" spans="1:13">
      <c r="A82" s="7">
        <v>0.84065972222222218</v>
      </c>
      <c r="B82" s="4" t="s">
        <v>23</v>
      </c>
      <c r="C82" s="4" t="s">
        <v>7</v>
      </c>
      <c r="D82" s="12">
        <v>72762</v>
      </c>
      <c r="E82" s="12">
        <v>2</v>
      </c>
      <c r="F82" s="13">
        <f t="shared" si="0"/>
        <v>145524</v>
      </c>
      <c r="H82" s="24">
        <v>0.30148148148148152</v>
      </c>
      <c r="I82" t="s">
        <v>18</v>
      </c>
      <c r="J82" t="s">
        <v>8</v>
      </c>
      <c r="K82">
        <v>1736</v>
      </c>
      <c r="L82">
        <v>1</v>
      </c>
      <c r="M82">
        <f t="shared" si="2"/>
        <v>-1736</v>
      </c>
    </row>
    <row r="83" spans="1:13">
      <c r="A83" s="7">
        <v>0.84064814814814814</v>
      </c>
      <c r="B83" s="4" t="s">
        <v>21</v>
      </c>
      <c r="C83" s="4" t="s">
        <v>8</v>
      </c>
      <c r="D83" s="12">
        <v>73535</v>
      </c>
      <c r="E83" s="12">
        <v>1</v>
      </c>
      <c r="F83" s="13">
        <f t="shared" si="0"/>
        <v>-73535</v>
      </c>
      <c r="H83" s="24">
        <v>0.30148148148148152</v>
      </c>
      <c r="I83" t="s">
        <v>18</v>
      </c>
      <c r="J83" t="s">
        <v>8</v>
      </c>
      <c r="K83">
        <v>1736</v>
      </c>
      <c r="L83">
        <v>2</v>
      </c>
      <c r="M83">
        <f t="shared" si="2"/>
        <v>-3472</v>
      </c>
    </row>
    <row r="84" spans="1:13">
      <c r="A84" s="7">
        <v>0.84064814814814814</v>
      </c>
      <c r="B84" s="4" t="s">
        <v>23</v>
      </c>
      <c r="C84" s="4" t="s">
        <v>7</v>
      </c>
      <c r="D84" s="12">
        <v>72762</v>
      </c>
      <c r="E84" s="12">
        <v>1</v>
      </c>
      <c r="F84" s="13">
        <f t="shared" si="0"/>
        <v>72762</v>
      </c>
      <c r="H84" s="24">
        <v>0.30148148148148152</v>
      </c>
      <c r="I84" t="s">
        <v>18</v>
      </c>
      <c r="J84" t="s">
        <v>8</v>
      </c>
      <c r="K84">
        <v>1736</v>
      </c>
      <c r="L84">
        <v>7</v>
      </c>
      <c r="M84">
        <f t="shared" si="2"/>
        <v>-12152</v>
      </c>
    </row>
    <row r="85" spans="1:13">
      <c r="A85" s="7">
        <v>0.84064814814814814</v>
      </c>
      <c r="B85" s="4" t="s">
        <v>21</v>
      </c>
      <c r="C85" s="4" t="s">
        <v>8</v>
      </c>
      <c r="D85" s="12">
        <v>73535</v>
      </c>
      <c r="E85" s="12">
        <v>3</v>
      </c>
      <c r="F85" s="13">
        <f t="shared" si="0"/>
        <v>-220605</v>
      </c>
      <c r="H85" s="24">
        <v>0.30148148148148152</v>
      </c>
      <c r="I85" t="s">
        <v>18</v>
      </c>
      <c r="J85" t="s">
        <v>8</v>
      </c>
      <c r="K85">
        <v>1736</v>
      </c>
      <c r="L85">
        <v>1</v>
      </c>
      <c r="M85">
        <f t="shared" si="2"/>
        <v>-1736</v>
      </c>
    </row>
    <row r="86" spans="1:13">
      <c r="A86" s="7">
        <v>0.84064814814814814</v>
      </c>
      <c r="B86" s="4" t="s">
        <v>23</v>
      </c>
      <c r="C86" s="4" t="s">
        <v>7</v>
      </c>
      <c r="D86" s="12">
        <v>72762</v>
      </c>
      <c r="E86" s="12">
        <v>3</v>
      </c>
      <c r="F86" s="13">
        <f t="shared" si="0"/>
        <v>218286</v>
      </c>
      <c r="H86" s="24">
        <v>0.30148148148148152</v>
      </c>
      <c r="I86" t="s">
        <v>18</v>
      </c>
      <c r="J86" t="s">
        <v>8</v>
      </c>
      <c r="K86">
        <v>1736</v>
      </c>
      <c r="L86">
        <v>1</v>
      </c>
      <c r="M86">
        <f t="shared" si="2"/>
        <v>-1736</v>
      </c>
    </row>
    <row r="87" spans="1:13">
      <c r="A87" s="7">
        <v>0.84064814814814814</v>
      </c>
      <c r="B87" s="4" t="s">
        <v>21</v>
      </c>
      <c r="C87" s="4" t="s">
        <v>8</v>
      </c>
      <c r="D87" s="12">
        <v>73535</v>
      </c>
      <c r="E87" s="12">
        <v>3</v>
      </c>
      <c r="F87" s="13">
        <f t="shared" si="0"/>
        <v>-220605</v>
      </c>
      <c r="H87" s="24">
        <v>0.30148148148148152</v>
      </c>
      <c r="I87" t="s">
        <v>18</v>
      </c>
      <c r="J87" t="s">
        <v>8</v>
      </c>
      <c r="K87">
        <v>1736</v>
      </c>
      <c r="L87">
        <v>3</v>
      </c>
      <c r="M87">
        <f t="shared" si="2"/>
        <v>-5208</v>
      </c>
    </row>
    <row r="88" spans="1:13">
      <c r="A88" s="7">
        <v>0.84064814814814814</v>
      </c>
      <c r="B88" s="4" t="s">
        <v>23</v>
      </c>
      <c r="C88" s="4" t="s">
        <v>7</v>
      </c>
      <c r="D88" s="12">
        <v>72762</v>
      </c>
      <c r="E88" s="12">
        <v>3</v>
      </c>
      <c r="F88" s="13">
        <f t="shared" si="0"/>
        <v>218286</v>
      </c>
      <c r="H88" s="24">
        <v>0.30148148148148152</v>
      </c>
      <c r="I88" t="s">
        <v>18</v>
      </c>
      <c r="J88" t="s">
        <v>8</v>
      </c>
      <c r="K88">
        <v>1736</v>
      </c>
      <c r="L88">
        <v>2</v>
      </c>
      <c r="M88">
        <f t="shared" si="2"/>
        <v>-3472</v>
      </c>
    </row>
    <row r="89" spans="1:13">
      <c r="A89" s="7">
        <v>0.82445601851851846</v>
      </c>
      <c r="B89" s="4" t="s">
        <v>21</v>
      </c>
      <c r="C89" s="4" t="s">
        <v>8</v>
      </c>
      <c r="D89" s="12">
        <v>73585</v>
      </c>
      <c r="E89" s="12">
        <v>3</v>
      </c>
      <c r="F89" s="13">
        <f t="shared" si="0"/>
        <v>-220755</v>
      </c>
      <c r="H89" s="24">
        <v>0.30148148148148152</v>
      </c>
      <c r="I89" t="s">
        <v>18</v>
      </c>
      <c r="J89" t="s">
        <v>8</v>
      </c>
      <c r="K89">
        <v>1736</v>
      </c>
      <c r="L89">
        <v>2</v>
      </c>
      <c r="M89">
        <f t="shared" si="2"/>
        <v>-3472</v>
      </c>
    </row>
    <row r="90" spans="1:13">
      <c r="A90" s="7">
        <v>0.82445601851851846</v>
      </c>
      <c r="B90" s="4" t="s">
        <v>23</v>
      </c>
      <c r="C90" s="4" t="s">
        <v>7</v>
      </c>
      <c r="D90" s="12">
        <v>72810</v>
      </c>
      <c r="E90" s="12">
        <v>3</v>
      </c>
      <c r="F90" s="13">
        <f t="shared" si="0"/>
        <v>218430</v>
      </c>
      <c r="H90" s="24">
        <v>0.29614583333333333</v>
      </c>
      <c r="I90" t="s">
        <v>18</v>
      </c>
      <c r="J90" t="s">
        <v>7</v>
      </c>
      <c r="K90">
        <v>1735.3</v>
      </c>
      <c r="L90">
        <v>154</v>
      </c>
      <c r="M90">
        <f t="shared" si="2"/>
        <v>267236.2</v>
      </c>
    </row>
    <row r="91" spans="1:13">
      <c r="A91" s="7">
        <v>0.82438657407407412</v>
      </c>
      <c r="B91" s="4" t="s">
        <v>21</v>
      </c>
      <c r="C91" s="4" t="s">
        <v>8</v>
      </c>
      <c r="D91" s="12">
        <v>73581</v>
      </c>
      <c r="E91" s="12">
        <v>3</v>
      </c>
      <c r="F91" s="13">
        <f t="shared" si="0"/>
        <v>-220743</v>
      </c>
      <c r="M91" s="26">
        <f>SUM(M2:M90)</f>
        <v>193783.28300000005</v>
      </c>
    </row>
    <row r="92" spans="1:13">
      <c r="A92" s="7">
        <v>0.82438657407407412</v>
      </c>
      <c r="B92" s="4" t="s">
        <v>23</v>
      </c>
      <c r="C92" s="4" t="s">
        <v>7</v>
      </c>
      <c r="D92" s="12">
        <v>72806</v>
      </c>
      <c r="E92" s="12">
        <v>3</v>
      </c>
      <c r="F92" s="13">
        <f t="shared" si="0"/>
        <v>218418</v>
      </c>
    </row>
    <row r="93" spans="1:13">
      <c r="A93" s="7">
        <v>0.82438657407407412</v>
      </c>
      <c r="B93" s="4" t="s">
        <v>21</v>
      </c>
      <c r="C93" s="4" t="s">
        <v>8</v>
      </c>
      <c r="D93" s="12">
        <v>73581</v>
      </c>
      <c r="E93" s="12">
        <v>3</v>
      </c>
      <c r="F93" s="13">
        <f t="shared" si="0"/>
        <v>-220743</v>
      </c>
    </row>
    <row r="94" spans="1:13">
      <c r="A94" s="7">
        <v>0.82438657407407412</v>
      </c>
      <c r="B94" s="4" t="s">
        <v>23</v>
      </c>
      <c r="C94" s="4" t="s">
        <v>7</v>
      </c>
      <c r="D94" s="12">
        <v>72806</v>
      </c>
      <c r="E94" s="12">
        <v>3</v>
      </c>
      <c r="F94" s="13">
        <f t="shared" si="0"/>
        <v>218418</v>
      </c>
    </row>
    <row r="95" spans="1:13">
      <c r="A95" s="7">
        <v>0.82437499999999997</v>
      </c>
      <c r="B95" s="4" t="s">
        <v>21</v>
      </c>
      <c r="C95" s="4" t="s">
        <v>8</v>
      </c>
      <c r="D95" s="12">
        <v>73581</v>
      </c>
      <c r="E95" s="12">
        <v>3</v>
      </c>
      <c r="F95" s="13">
        <f t="shared" si="0"/>
        <v>-220743</v>
      </c>
    </row>
    <row r="96" spans="1:13">
      <c r="A96" s="7">
        <v>0.82437499999999997</v>
      </c>
      <c r="B96" s="4" t="s">
        <v>23</v>
      </c>
      <c r="C96" s="4" t="s">
        <v>7</v>
      </c>
      <c r="D96" s="12">
        <v>72806</v>
      </c>
      <c r="E96" s="12">
        <v>3</v>
      </c>
      <c r="F96" s="13">
        <f t="shared" si="0"/>
        <v>218418</v>
      </c>
    </row>
    <row r="97" spans="1:6">
      <c r="A97" s="7">
        <v>0.82437499999999997</v>
      </c>
      <c r="B97" s="4" t="s">
        <v>21</v>
      </c>
      <c r="C97" s="4" t="s">
        <v>8</v>
      </c>
      <c r="D97" s="12">
        <v>73581</v>
      </c>
      <c r="E97" s="12">
        <v>3</v>
      </c>
      <c r="F97" s="13">
        <f t="shared" si="0"/>
        <v>-220743</v>
      </c>
    </row>
    <row r="98" spans="1:6">
      <c r="A98" s="7">
        <v>0.82437499999999997</v>
      </c>
      <c r="B98" s="4" t="s">
        <v>23</v>
      </c>
      <c r="C98" s="4" t="s">
        <v>7</v>
      </c>
      <c r="D98" s="12">
        <v>72806</v>
      </c>
      <c r="E98" s="12">
        <v>3</v>
      </c>
      <c r="F98" s="13">
        <f t="shared" si="0"/>
        <v>218418</v>
      </c>
    </row>
    <row r="99" spans="1:6">
      <c r="A99" s="7">
        <v>0.82437499999999997</v>
      </c>
      <c r="B99" s="4" t="s">
        <v>21</v>
      </c>
      <c r="C99" s="4" t="s">
        <v>8</v>
      </c>
      <c r="D99" s="12">
        <v>73581</v>
      </c>
      <c r="E99" s="12">
        <v>3</v>
      </c>
      <c r="F99" s="13">
        <f t="shared" si="0"/>
        <v>-220743</v>
      </c>
    </row>
    <row r="100" spans="1:6">
      <c r="A100" s="7">
        <v>0.82437499999999997</v>
      </c>
      <c r="B100" s="4" t="s">
        <v>23</v>
      </c>
      <c r="C100" s="4" t="s">
        <v>7</v>
      </c>
      <c r="D100" s="12">
        <v>72806</v>
      </c>
      <c r="E100" s="12">
        <v>3</v>
      </c>
      <c r="F100" s="13">
        <f t="shared" si="0"/>
        <v>218418</v>
      </c>
    </row>
    <row r="101" spans="1:6">
      <c r="A101" s="7">
        <v>0.82437499999999997</v>
      </c>
      <c r="B101" s="4" t="s">
        <v>21</v>
      </c>
      <c r="C101" s="4" t="s">
        <v>8</v>
      </c>
      <c r="D101" s="12">
        <v>73581</v>
      </c>
      <c r="E101" s="12">
        <v>3</v>
      </c>
      <c r="F101" s="13">
        <f t="shared" si="0"/>
        <v>-220743</v>
      </c>
    </row>
    <row r="102" spans="1:6">
      <c r="A102" s="7">
        <v>0.82437499999999997</v>
      </c>
      <c r="B102" s="4" t="s">
        <v>23</v>
      </c>
      <c r="C102" s="4" t="s">
        <v>7</v>
      </c>
      <c r="D102" s="12">
        <v>72806</v>
      </c>
      <c r="E102" s="12">
        <v>3</v>
      </c>
      <c r="F102" s="13">
        <f t="shared" si="0"/>
        <v>218418</v>
      </c>
    </row>
    <row r="103" spans="1:6">
      <c r="A103" s="7">
        <v>0.82437499999999997</v>
      </c>
      <c r="B103" s="4" t="s">
        <v>21</v>
      </c>
      <c r="C103" s="4" t="s">
        <v>8</v>
      </c>
      <c r="D103" s="12">
        <v>73581</v>
      </c>
      <c r="E103" s="12">
        <v>3</v>
      </c>
      <c r="F103" s="13">
        <f t="shared" si="0"/>
        <v>-220743</v>
      </c>
    </row>
    <row r="104" spans="1:6">
      <c r="A104" s="7">
        <v>0.82437499999999997</v>
      </c>
      <c r="B104" s="4" t="s">
        <v>23</v>
      </c>
      <c r="C104" s="4" t="s">
        <v>7</v>
      </c>
      <c r="D104" s="12">
        <v>72806</v>
      </c>
      <c r="E104" s="12">
        <v>3</v>
      </c>
      <c r="F104" s="13">
        <f t="shared" si="0"/>
        <v>218418</v>
      </c>
    </row>
    <row r="105" spans="1:6">
      <c r="A105" s="7">
        <v>0.82437499999999997</v>
      </c>
      <c r="B105" s="4" t="s">
        <v>21</v>
      </c>
      <c r="C105" s="4" t="s">
        <v>8</v>
      </c>
      <c r="D105" s="12">
        <v>73581</v>
      </c>
      <c r="E105" s="12">
        <v>3</v>
      </c>
      <c r="F105" s="13">
        <f t="shared" si="0"/>
        <v>-220743</v>
      </c>
    </row>
    <row r="106" spans="1:6">
      <c r="A106" s="7">
        <v>0.82437499999999997</v>
      </c>
      <c r="B106" s="4" t="s">
        <v>23</v>
      </c>
      <c r="C106" s="4" t="s">
        <v>7</v>
      </c>
      <c r="D106" s="12">
        <v>72806</v>
      </c>
      <c r="E106" s="12">
        <v>3</v>
      </c>
      <c r="F106" s="13">
        <f t="shared" si="0"/>
        <v>218418</v>
      </c>
    </row>
    <row r="107" spans="1:6">
      <c r="A107" s="7">
        <v>0.82437499999999997</v>
      </c>
      <c r="B107" s="4" t="s">
        <v>21</v>
      </c>
      <c r="C107" s="4" t="s">
        <v>8</v>
      </c>
      <c r="D107" s="12">
        <v>73581</v>
      </c>
      <c r="E107" s="12">
        <v>3</v>
      </c>
      <c r="F107" s="13">
        <f t="shared" si="0"/>
        <v>-220743</v>
      </c>
    </row>
    <row r="108" spans="1:6">
      <c r="A108" s="7">
        <v>0.82437499999999997</v>
      </c>
      <c r="B108" s="4" t="s">
        <v>23</v>
      </c>
      <c r="C108" s="4" t="s">
        <v>7</v>
      </c>
      <c r="D108" s="12">
        <v>72806</v>
      </c>
      <c r="E108" s="12">
        <v>3</v>
      </c>
      <c r="F108" s="13">
        <f t="shared" si="0"/>
        <v>218418</v>
      </c>
    </row>
    <row r="109" spans="1:6">
      <c r="A109" s="7">
        <v>0.82436342592592593</v>
      </c>
      <c r="B109" s="4" t="s">
        <v>21</v>
      </c>
      <c r="C109" s="4" t="s">
        <v>8</v>
      </c>
      <c r="D109" s="12">
        <v>73581</v>
      </c>
      <c r="E109" s="12">
        <v>3</v>
      </c>
      <c r="F109" s="13">
        <f t="shared" si="0"/>
        <v>-220743</v>
      </c>
    </row>
    <row r="110" spans="1:6">
      <c r="A110" s="7">
        <v>0.82436342592592593</v>
      </c>
      <c r="B110" s="4" t="s">
        <v>23</v>
      </c>
      <c r="C110" s="4" t="s">
        <v>7</v>
      </c>
      <c r="D110" s="12">
        <v>72806</v>
      </c>
      <c r="E110" s="12">
        <v>3</v>
      </c>
      <c r="F110" s="13">
        <f t="shared" si="0"/>
        <v>218418</v>
      </c>
    </row>
    <row r="111" spans="1:6">
      <c r="A111" s="7">
        <v>0.82415509259259256</v>
      </c>
      <c r="B111" s="4" t="s">
        <v>21</v>
      </c>
      <c r="C111" s="4" t="s">
        <v>8</v>
      </c>
      <c r="D111" s="12">
        <v>73581</v>
      </c>
      <c r="E111" s="12">
        <v>1</v>
      </c>
      <c r="F111" s="13">
        <f t="shared" si="0"/>
        <v>-73581</v>
      </c>
    </row>
    <row r="112" spans="1:6">
      <c r="A112" s="7">
        <v>0.82415509259259256</v>
      </c>
      <c r="B112" s="4" t="s">
        <v>23</v>
      </c>
      <c r="C112" s="4" t="s">
        <v>7</v>
      </c>
      <c r="D112" s="12">
        <v>72806</v>
      </c>
      <c r="E112" s="12">
        <v>1</v>
      </c>
      <c r="F112" s="13">
        <f t="shared" si="0"/>
        <v>72806</v>
      </c>
    </row>
    <row r="113" spans="1:6">
      <c r="A113" s="7">
        <v>0.82413194444444449</v>
      </c>
      <c r="B113" s="4" t="s">
        <v>21</v>
      </c>
      <c r="C113" s="4" t="s">
        <v>8</v>
      </c>
      <c r="D113" s="12">
        <v>73581</v>
      </c>
      <c r="E113" s="12">
        <v>3</v>
      </c>
      <c r="F113" s="13">
        <f t="shared" si="0"/>
        <v>-220743</v>
      </c>
    </row>
    <row r="114" spans="1:6">
      <c r="A114" s="7">
        <v>0.82413194444444449</v>
      </c>
      <c r="B114" s="4" t="s">
        <v>23</v>
      </c>
      <c r="C114" s="4" t="s">
        <v>7</v>
      </c>
      <c r="D114" s="12">
        <v>72806</v>
      </c>
      <c r="E114" s="12">
        <v>3</v>
      </c>
      <c r="F114" s="13">
        <f t="shared" si="0"/>
        <v>218418</v>
      </c>
    </row>
    <row r="115" spans="1:6">
      <c r="A115" s="7">
        <v>0.82398148148148154</v>
      </c>
      <c r="B115" s="4" t="s">
        <v>21</v>
      </c>
      <c r="C115" s="4" t="s">
        <v>8</v>
      </c>
      <c r="D115" s="12">
        <v>73580</v>
      </c>
      <c r="E115" s="12">
        <v>1</v>
      </c>
      <c r="F115" s="13">
        <f t="shared" si="0"/>
        <v>-73580</v>
      </c>
    </row>
    <row r="116" spans="1:6">
      <c r="A116" s="7">
        <v>0.82398148148148154</v>
      </c>
      <c r="B116" s="4" t="s">
        <v>23</v>
      </c>
      <c r="C116" s="4" t="s">
        <v>7</v>
      </c>
      <c r="D116" s="12">
        <v>72805</v>
      </c>
      <c r="E116" s="12">
        <v>1</v>
      </c>
      <c r="F116" s="13">
        <f t="shared" si="0"/>
        <v>72805</v>
      </c>
    </row>
    <row r="117" spans="1:6">
      <c r="A117" s="7">
        <v>0.8235069444444445</v>
      </c>
      <c r="B117" s="4" t="s">
        <v>21</v>
      </c>
      <c r="C117" s="4" t="s">
        <v>8</v>
      </c>
      <c r="D117" s="12">
        <v>73578</v>
      </c>
      <c r="E117" s="12">
        <v>3</v>
      </c>
      <c r="F117" s="13">
        <f t="shared" si="0"/>
        <v>-220734</v>
      </c>
    </row>
    <row r="118" spans="1:6">
      <c r="A118" s="7">
        <v>0.8235069444444445</v>
      </c>
      <c r="B118" s="4" t="s">
        <v>23</v>
      </c>
      <c r="C118" s="4" t="s">
        <v>7</v>
      </c>
      <c r="D118" s="12">
        <v>72803</v>
      </c>
      <c r="E118" s="12">
        <v>3</v>
      </c>
      <c r="F118" s="13">
        <f t="shared" si="0"/>
        <v>218409</v>
      </c>
    </row>
    <row r="119" spans="1:6">
      <c r="A119" s="7">
        <v>0.82346064814814812</v>
      </c>
      <c r="B119" s="4" t="s">
        <v>21</v>
      </c>
      <c r="C119" s="4" t="s">
        <v>8</v>
      </c>
      <c r="D119" s="12">
        <v>73579</v>
      </c>
      <c r="E119" s="12">
        <v>3</v>
      </c>
      <c r="F119" s="13">
        <f t="shared" si="0"/>
        <v>-220737</v>
      </c>
    </row>
    <row r="120" spans="1:6">
      <c r="A120" s="7">
        <v>0.82346064814814812</v>
      </c>
      <c r="B120" s="4" t="s">
        <v>23</v>
      </c>
      <c r="C120" s="4" t="s">
        <v>7</v>
      </c>
      <c r="D120" s="12">
        <v>72804</v>
      </c>
      <c r="E120" s="12">
        <v>3</v>
      </c>
      <c r="F120" s="13">
        <f t="shared" si="0"/>
        <v>218412</v>
      </c>
    </row>
    <row r="121" spans="1:6">
      <c r="A121" s="7">
        <v>0.82342592592592589</v>
      </c>
      <c r="B121" s="4" t="s">
        <v>21</v>
      </c>
      <c r="C121" s="4" t="s">
        <v>8</v>
      </c>
      <c r="D121" s="12">
        <v>73579</v>
      </c>
      <c r="E121" s="12">
        <v>3</v>
      </c>
      <c r="F121" s="13">
        <f t="shared" si="0"/>
        <v>-220737</v>
      </c>
    </row>
    <row r="122" spans="1:6">
      <c r="A122" s="7">
        <v>0.82342592592592589</v>
      </c>
      <c r="B122" s="4" t="s">
        <v>23</v>
      </c>
      <c r="C122" s="4" t="s">
        <v>7</v>
      </c>
      <c r="D122" s="12">
        <v>72804</v>
      </c>
      <c r="E122" s="12">
        <v>3</v>
      </c>
      <c r="F122" s="13">
        <f t="shared" si="0"/>
        <v>218412</v>
      </c>
    </row>
    <row r="123" spans="1:6">
      <c r="A123" s="7">
        <v>0.82336805555555559</v>
      </c>
      <c r="B123" s="4" t="s">
        <v>21</v>
      </c>
      <c r="C123" s="4" t="s">
        <v>8</v>
      </c>
      <c r="D123" s="12">
        <v>73580</v>
      </c>
      <c r="E123" s="12">
        <v>3</v>
      </c>
      <c r="F123" s="13">
        <f t="shared" si="0"/>
        <v>-220740</v>
      </c>
    </row>
    <row r="124" spans="1:6">
      <c r="A124" s="7">
        <v>0.82336805555555559</v>
      </c>
      <c r="B124" s="4" t="s">
        <v>23</v>
      </c>
      <c r="C124" s="4" t="s">
        <v>7</v>
      </c>
      <c r="D124" s="12">
        <v>72805</v>
      </c>
      <c r="E124" s="12">
        <v>3</v>
      </c>
      <c r="F124" s="13">
        <f t="shared" si="0"/>
        <v>218415</v>
      </c>
    </row>
    <row r="125" spans="1:6">
      <c r="A125" s="7">
        <v>0.82329861111111113</v>
      </c>
      <c r="B125" s="4" t="s">
        <v>21</v>
      </c>
      <c r="C125" s="4" t="s">
        <v>8</v>
      </c>
      <c r="D125" s="12">
        <v>73579</v>
      </c>
      <c r="E125" s="12">
        <v>1</v>
      </c>
      <c r="F125" s="13">
        <f t="shared" si="0"/>
        <v>-73579</v>
      </c>
    </row>
    <row r="126" spans="1:6">
      <c r="A126" s="7">
        <v>0.82329861111111113</v>
      </c>
      <c r="B126" s="4" t="s">
        <v>23</v>
      </c>
      <c r="C126" s="4" t="s">
        <v>7</v>
      </c>
      <c r="D126" s="12">
        <v>72804</v>
      </c>
      <c r="E126" s="12">
        <v>1</v>
      </c>
      <c r="F126" s="13">
        <f t="shared" si="0"/>
        <v>72804</v>
      </c>
    </row>
    <row r="127" spans="1:6">
      <c r="A127" s="7">
        <v>0.82317129629629626</v>
      </c>
      <c r="B127" s="4" t="s">
        <v>21</v>
      </c>
      <c r="C127" s="4" t="s">
        <v>8</v>
      </c>
      <c r="D127" s="12">
        <v>73581</v>
      </c>
      <c r="E127" s="12">
        <v>3</v>
      </c>
      <c r="F127" s="13">
        <f t="shared" si="0"/>
        <v>-220743</v>
      </c>
    </row>
    <row r="128" spans="1:6">
      <c r="A128" s="7">
        <v>0.82317129629629626</v>
      </c>
      <c r="B128" s="4" t="s">
        <v>23</v>
      </c>
      <c r="C128" s="4" t="s">
        <v>7</v>
      </c>
      <c r="D128" s="12">
        <v>72806</v>
      </c>
      <c r="E128" s="12">
        <v>3</v>
      </c>
      <c r="F128" s="13">
        <f t="shared" si="0"/>
        <v>218418</v>
      </c>
    </row>
    <row r="129" spans="1:6">
      <c r="A129" s="7">
        <v>0.82315972222222222</v>
      </c>
      <c r="B129" s="4" t="s">
        <v>21</v>
      </c>
      <c r="C129" s="4" t="s">
        <v>8</v>
      </c>
      <c r="D129" s="12">
        <v>73581</v>
      </c>
      <c r="E129" s="12">
        <v>2</v>
      </c>
      <c r="F129" s="13">
        <f t="shared" si="0"/>
        <v>-147162</v>
      </c>
    </row>
    <row r="130" spans="1:6">
      <c r="A130" s="7">
        <v>0.82315972222222222</v>
      </c>
      <c r="B130" s="4" t="s">
        <v>23</v>
      </c>
      <c r="C130" s="4" t="s">
        <v>7</v>
      </c>
      <c r="D130" s="12">
        <v>72806</v>
      </c>
      <c r="E130" s="12">
        <v>2</v>
      </c>
      <c r="F130" s="13">
        <f t="shared" si="0"/>
        <v>145612</v>
      </c>
    </row>
    <row r="131" spans="1:6">
      <c r="A131" s="7">
        <v>0.82314814814814818</v>
      </c>
      <c r="B131" s="4" t="s">
        <v>21</v>
      </c>
      <c r="C131" s="4" t="s">
        <v>8</v>
      </c>
      <c r="D131" s="12">
        <v>73581</v>
      </c>
      <c r="E131" s="12">
        <v>1</v>
      </c>
      <c r="F131" s="13">
        <f t="shared" si="0"/>
        <v>-73581</v>
      </c>
    </row>
    <row r="132" spans="1:6">
      <c r="A132" s="7">
        <v>0.82314814814814818</v>
      </c>
      <c r="B132" s="4" t="s">
        <v>23</v>
      </c>
      <c r="C132" s="4" t="s">
        <v>7</v>
      </c>
      <c r="D132" s="12">
        <v>72806</v>
      </c>
      <c r="E132" s="12">
        <v>1</v>
      </c>
      <c r="F132" s="13">
        <f t="shared" si="0"/>
        <v>72806</v>
      </c>
    </row>
    <row r="133" spans="1:6">
      <c r="A133" s="7">
        <v>0.82313657407407403</v>
      </c>
      <c r="B133" s="4" t="s">
        <v>21</v>
      </c>
      <c r="C133" s="4" t="s">
        <v>8</v>
      </c>
      <c r="D133" s="12">
        <v>73581</v>
      </c>
      <c r="E133" s="12">
        <v>3</v>
      </c>
      <c r="F133" s="13">
        <f t="shared" si="0"/>
        <v>-220743</v>
      </c>
    </row>
    <row r="134" spans="1:6">
      <c r="A134" s="7">
        <v>0.82313657407407403</v>
      </c>
      <c r="B134" s="4" t="s">
        <v>23</v>
      </c>
      <c r="C134" s="4" t="s">
        <v>7</v>
      </c>
      <c r="D134" s="12">
        <v>72806</v>
      </c>
      <c r="E134" s="12">
        <v>3</v>
      </c>
      <c r="F134" s="13">
        <f t="shared" si="0"/>
        <v>218418</v>
      </c>
    </row>
    <row r="135" spans="1:6">
      <c r="A135" s="7">
        <v>0.82313657407407403</v>
      </c>
      <c r="B135" s="4" t="s">
        <v>21</v>
      </c>
      <c r="C135" s="4" t="s">
        <v>8</v>
      </c>
      <c r="D135" s="12">
        <v>73580</v>
      </c>
      <c r="E135" s="12">
        <v>3</v>
      </c>
      <c r="F135" s="13">
        <f t="shared" si="0"/>
        <v>-220740</v>
      </c>
    </row>
    <row r="136" spans="1:6">
      <c r="A136" s="7">
        <v>0.82313657407407403</v>
      </c>
      <c r="B136" s="4" t="s">
        <v>23</v>
      </c>
      <c r="C136" s="4" t="s">
        <v>7</v>
      </c>
      <c r="D136" s="12">
        <v>72804</v>
      </c>
      <c r="E136" s="12">
        <v>3</v>
      </c>
      <c r="F136" s="13">
        <f t="shared" si="0"/>
        <v>218412</v>
      </c>
    </row>
    <row r="137" spans="1:6">
      <c r="A137" s="7">
        <v>0.82313657407407403</v>
      </c>
      <c r="B137" s="4" t="s">
        <v>21</v>
      </c>
      <c r="C137" s="4" t="s">
        <v>8</v>
      </c>
      <c r="D137" s="12">
        <v>73575</v>
      </c>
      <c r="E137" s="12">
        <v>3</v>
      </c>
      <c r="F137" s="13">
        <f t="shared" si="0"/>
        <v>-220725</v>
      </c>
    </row>
    <row r="138" spans="1:6">
      <c r="A138" s="7">
        <v>0.82313657407407403</v>
      </c>
      <c r="B138" s="4" t="s">
        <v>23</v>
      </c>
      <c r="C138" s="4" t="s">
        <v>7</v>
      </c>
      <c r="D138" s="12">
        <v>72800</v>
      </c>
      <c r="E138" s="12">
        <v>3</v>
      </c>
      <c r="F138" s="13">
        <f t="shared" si="0"/>
        <v>218400</v>
      </c>
    </row>
    <row r="139" spans="1:6">
      <c r="A139" s="7">
        <v>0.82311342592592596</v>
      </c>
      <c r="B139" s="4" t="s">
        <v>21</v>
      </c>
      <c r="C139" s="4" t="s">
        <v>8</v>
      </c>
      <c r="D139" s="12">
        <v>73573</v>
      </c>
      <c r="E139" s="12">
        <v>1</v>
      </c>
      <c r="F139" s="13">
        <f t="shared" si="0"/>
        <v>-73573</v>
      </c>
    </row>
    <row r="140" spans="1:6">
      <c r="A140" s="7">
        <v>0.82311342592592596</v>
      </c>
      <c r="B140" s="4" t="s">
        <v>23</v>
      </c>
      <c r="C140" s="4" t="s">
        <v>7</v>
      </c>
      <c r="D140" s="12">
        <v>72798</v>
      </c>
      <c r="E140" s="12">
        <v>1</v>
      </c>
      <c r="F140" s="13">
        <f t="shared" si="0"/>
        <v>72798</v>
      </c>
    </row>
    <row r="141" spans="1:6">
      <c r="A141" s="7">
        <v>0.82311342592592596</v>
      </c>
      <c r="B141" s="4" t="s">
        <v>21</v>
      </c>
      <c r="C141" s="4" t="s">
        <v>8</v>
      </c>
      <c r="D141" s="12">
        <v>73573</v>
      </c>
      <c r="E141" s="12">
        <v>2</v>
      </c>
      <c r="F141" s="13">
        <f t="shared" si="0"/>
        <v>-147146</v>
      </c>
    </row>
    <row r="142" spans="1:6">
      <c r="A142" s="7">
        <v>0.82311342592592596</v>
      </c>
      <c r="B142" s="4" t="s">
        <v>23</v>
      </c>
      <c r="C142" s="4" t="s">
        <v>7</v>
      </c>
      <c r="D142" s="12">
        <v>72798</v>
      </c>
      <c r="E142" s="12">
        <v>2</v>
      </c>
      <c r="F142" s="13">
        <f t="shared" si="0"/>
        <v>145596</v>
      </c>
    </row>
    <row r="143" spans="1:6">
      <c r="A143" s="7">
        <v>0.8230439814814815</v>
      </c>
      <c r="B143" s="4" t="s">
        <v>21</v>
      </c>
      <c r="C143" s="4" t="s">
        <v>8</v>
      </c>
      <c r="D143" s="12">
        <v>73575</v>
      </c>
      <c r="E143" s="12">
        <v>3</v>
      </c>
      <c r="F143" s="13">
        <f t="shared" si="0"/>
        <v>-220725</v>
      </c>
    </row>
    <row r="144" spans="1:6">
      <c r="A144" s="7">
        <v>0.8230439814814815</v>
      </c>
      <c r="B144" s="4" t="s">
        <v>23</v>
      </c>
      <c r="C144" s="4" t="s">
        <v>7</v>
      </c>
      <c r="D144" s="12">
        <v>72800</v>
      </c>
      <c r="E144" s="12">
        <v>3</v>
      </c>
      <c r="F144" s="13">
        <f t="shared" si="0"/>
        <v>218400</v>
      </c>
    </row>
    <row r="145" spans="1:6">
      <c r="A145" s="7">
        <v>0.8230439814814815</v>
      </c>
      <c r="B145" s="4" t="s">
        <v>21</v>
      </c>
      <c r="C145" s="4" t="s">
        <v>8</v>
      </c>
      <c r="D145" s="12">
        <v>73575</v>
      </c>
      <c r="E145" s="12">
        <v>3</v>
      </c>
      <c r="F145" s="13">
        <f t="shared" si="0"/>
        <v>-220725</v>
      </c>
    </row>
    <row r="146" spans="1:6">
      <c r="A146" s="7">
        <v>0.8230439814814815</v>
      </c>
      <c r="B146" s="4" t="s">
        <v>23</v>
      </c>
      <c r="C146" s="4" t="s">
        <v>7</v>
      </c>
      <c r="D146" s="12">
        <v>72800</v>
      </c>
      <c r="E146" s="12">
        <v>3</v>
      </c>
      <c r="F146" s="13">
        <f t="shared" si="0"/>
        <v>218400</v>
      </c>
    </row>
    <row r="147" spans="1:6">
      <c r="A147" s="7">
        <v>0.8230439814814815</v>
      </c>
      <c r="B147" s="4" t="s">
        <v>21</v>
      </c>
      <c r="C147" s="4" t="s">
        <v>8</v>
      </c>
      <c r="D147" s="12">
        <v>73575</v>
      </c>
      <c r="E147" s="12">
        <v>3</v>
      </c>
      <c r="F147" s="13">
        <f t="shared" si="0"/>
        <v>-220725</v>
      </c>
    </row>
    <row r="148" spans="1:6">
      <c r="A148" s="7">
        <v>0.8230439814814815</v>
      </c>
      <c r="B148" s="4" t="s">
        <v>23</v>
      </c>
      <c r="C148" s="4" t="s">
        <v>7</v>
      </c>
      <c r="D148" s="12">
        <v>72800</v>
      </c>
      <c r="E148" s="12">
        <v>3</v>
      </c>
      <c r="F148" s="13">
        <f t="shared" si="0"/>
        <v>218400</v>
      </c>
    </row>
    <row r="149" spans="1:6">
      <c r="A149" s="7">
        <v>0.8230439814814815</v>
      </c>
      <c r="B149" s="4" t="s">
        <v>21</v>
      </c>
      <c r="C149" s="4" t="s">
        <v>8</v>
      </c>
      <c r="D149" s="12">
        <v>73575</v>
      </c>
      <c r="E149" s="12">
        <v>3</v>
      </c>
      <c r="F149" s="13">
        <f t="shared" si="0"/>
        <v>-220725</v>
      </c>
    </row>
    <row r="150" spans="1:6">
      <c r="A150" s="7">
        <v>0.8230439814814815</v>
      </c>
      <c r="B150" s="4" t="s">
        <v>23</v>
      </c>
      <c r="C150" s="4" t="s">
        <v>7</v>
      </c>
      <c r="D150" s="12">
        <v>72800</v>
      </c>
      <c r="E150" s="12">
        <v>3</v>
      </c>
      <c r="F150" s="13">
        <f t="shared" si="0"/>
        <v>218400</v>
      </c>
    </row>
    <row r="151" spans="1:6">
      <c r="A151" s="7">
        <v>0.8230439814814815</v>
      </c>
      <c r="B151" s="4" t="s">
        <v>21</v>
      </c>
      <c r="C151" s="4" t="s">
        <v>8</v>
      </c>
      <c r="D151" s="12">
        <v>73575</v>
      </c>
      <c r="E151" s="12">
        <v>3</v>
      </c>
      <c r="F151" s="13">
        <f t="shared" si="0"/>
        <v>-220725</v>
      </c>
    </row>
    <row r="152" spans="1:6">
      <c r="A152" s="7">
        <v>0.8230439814814815</v>
      </c>
      <c r="B152" s="4" t="s">
        <v>23</v>
      </c>
      <c r="C152" s="4" t="s">
        <v>7</v>
      </c>
      <c r="D152" s="12">
        <v>72800</v>
      </c>
      <c r="E152" s="12">
        <v>3</v>
      </c>
      <c r="F152" s="13">
        <f t="shared" si="0"/>
        <v>218400</v>
      </c>
    </row>
    <row r="153" spans="1:6">
      <c r="A153" s="7">
        <v>0.82303240740740746</v>
      </c>
      <c r="B153" s="4" t="s">
        <v>21</v>
      </c>
      <c r="C153" s="4" t="s">
        <v>8</v>
      </c>
      <c r="D153" s="12">
        <v>73575</v>
      </c>
      <c r="E153" s="12">
        <v>3</v>
      </c>
      <c r="F153" s="13">
        <f t="shared" si="0"/>
        <v>-220725</v>
      </c>
    </row>
    <row r="154" spans="1:6">
      <c r="A154" s="7">
        <v>0.82303240740740746</v>
      </c>
      <c r="B154" s="4" t="s">
        <v>23</v>
      </c>
      <c r="C154" s="4" t="s">
        <v>7</v>
      </c>
      <c r="D154" s="12">
        <v>72800</v>
      </c>
      <c r="E154" s="12">
        <v>3</v>
      </c>
      <c r="F154" s="13">
        <f t="shared" si="0"/>
        <v>218400</v>
      </c>
    </row>
    <row r="155" spans="1:6">
      <c r="A155" s="7">
        <v>0.82302083333333331</v>
      </c>
      <c r="B155" s="4" t="s">
        <v>21</v>
      </c>
      <c r="C155" s="4" t="s">
        <v>8</v>
      </c>
      <c r="D155" s="12">
        <v>73576</v>
      </c>
      <c r="E155" s="12">
        <v>3</v>
      </c>
      <c r="F155" s="13">
        <f t="shared" si="0"/>
        <v>-220728</v>
      </c>
    </row>
    <row r="156" spans="1:6">
      <c r="A156" s="7">
        <v>0.82302083333333331</v>
      </c>
      <c r="B156" s="4" t="s">
        <v>23</v>
      </c>
      <c r="C156" s="4" t="s">
        <v>7</v>
      </c>
      <c r="D156" s="12">
        <v>72801</v>
      </c>
      <c r="E156" s="12">
        <v>3</v>
      </c>
      <c r="F156" s="13">
        <f t="shared" si="0"/>
        <v>218403</v>
      </c>
    </row>
    <row r="157" spans="1:6">
      <c r="A157" s="7">
        <v>0.82302083333333331</v>
      </c>
      <c r="B157" s="4" t="s">
        <v>21</v>
      </c>
      <c r="C157" s="4" t="s">
        <v>8</v>
      </c>
      <c r="D157" s="12">
        <v>73576</v>
      </c>
      <c r="E157" s="12">
        <v>1</v>
      </c>
      <c r="F157" s="13">
        <f t="shared" si="0"/>
        <v>-73576</v>
      </c>
    </row>
    <row r="158" spans="1:6">
      <c r="A158" s="7">
        <v>0.82302083333333331</v>
      </c>
      <c r="B158" s="4" t="s">
        <v>21</v>
      </c>
      <c r="C158" s="4" t="s">
        <v>8</v>
      </c>
      <c r="D158" s="12">
        <v>73576</v>
      </c>
      <c r="E158" s="12">
        <v>2</v>
      </c>
      <c r="F158" s="13">
        <f t="shared" si="0"/>
        <v>-147152</v>
      </c>
    </row>
    <row r="159" spans="1:6">
      <c r="A159" s="7">
        <v>0.82302083333333331</v>
      </c>
      <c r="B159" s="4" t="s">
        <v>23</v>
      </c>
      <c r="C159" s="4" t="s">
        <v>7</v>
      </c>
      <c r="D159" s="12">
        <v>72801</v>
      </c>
      <c r="E159" s="12">
        <v>3</v>
      </c>
      <c r="F159" s="13">
        <f t="shared" si="0"/>
        <v>218403</v>
      </c>
    </row>
    <row r="160" spans="1:6">
      <c r="A160" s="7">
        <v>0.82302083333333331</v>
      </c>
      <c r="B160" s="4" t="s">
        <v>21</v>
      </c>
      <c r="C160" s="4" t="s">
        <v>8</v>
      </c>
      <c r="D160" s="12">
        <v>73576</v>
      </c>
      <c r="E160" s="12">
        <v>1</v>
      </c>
      <c r="F160" s="13">
        <f t="shared" si="0"/>
        <v>-73576</v>
      </c>
    </row>
    <row r="161" spans="1:6">
      <c r="A161" s="7">
        <v>0.82302083333333331</v>
      </c>
      <c r="B161" s="4" t="s">
        <v>23</v>
      </c>
      <c r="C161" s="4" t="s">
        <v>7</v>
      </c>
      <c r="D161" s="12">
        <v>72802</v>
      </c>
      <c r="E161" s="12">
        <v>1</v>
      </c>
      <c r="F161" s="13">
        <f t="shared" si="0"/>
        <v>72802</v>
      </c>
    </row>
    <row r="162" spans="1:6">
      <c r="A162" s="7">
        <v>0.82302083333333331</v>
      </c>
      <c r="B162" s="4" t="s">
        <v>21</v>
      </c>
      <c r="C162" s="4" t="s">
        <v>8</v>
      </c>
      <c r="D162" s="12">
        <v>73576</v>
      </c>
      <c r="E162" s="12">
        <v>2</v>
      </c>
      <c r="F162" s="13">
        <f t="shared" si="0"/>
        <v>-147152</v>
      </c>
    </row>
    <row r="163" spans="1:6">
      <c r="A163" s="7">
        <v>0.82302083333333331</v>
      </c>
      <c r="B163" s="4" t="s">
        <v>23</v>
      </c>
      <c r="C163" s="4" t="s">
        <v>7</v>
      </c>
      <c r="D163" s="12">
        <v>72802</v>
      </c>
      <c r="E163" s="12">
        <v>2</v>
      </c>
      <c r="F163" s="13">
        <f t="shared" si="0"/>
        <v>145604</v>
      </c>
    </row>
    <row r="164" spans="1:6">
      <c r="A164" s="7">
        <v>0.82298611111111108</v>
      </c>
      <c r="B164" s="4" t="s">
        <v>21</v>
      </c>
      <c r="C164" s="4" t="s">
        <v>8</v>
      </c>
      <c r="D164" s="12">
        <v>73576</v>
      </c>
      <c r="E164" s="12">
        <v>1</v>
      </c>
      <c r="F164" s="13">
        <f t="shared" si="0"/>
        <v>-73576</v>
      </c>
    </row>
    <row r="165" spans="1:6">
      <c r="A165" s="7">
        <v>0.82298611111111108</v>
      </c>
      <c r="B165" s="4" t="s">
        <v>23</v>
      </c>
      <c r="C165" s="4" t="s">
        <v>7</v>
      </c>
      <c r="D165" s="12">
        <v>72802</v>
      </c>
      <c r="E165" s="12">
        <v>1</v>
      </c>
      <c r="F165" s="13">
        <f t="shared" si="0"/>
        <v>72802</v>
      </c>
    </row>
    <row r="166" spans="1:6">
      <c r="A166" s="7">
        <v>0.82297453703703705</v>
      </c>
      <c r="B166" s="4" t="s">
        <v>21</v>
      </c>
      <c r="C166" s="4" t="s">
        <v>8</v>
      </c>
      <c r="D166" s="12">
        <v>73576</v>
      </c>
      <c r="E166" s="12">
        <v>3</v>
      </c>
      <c r="F166" s="13">
        <f t="shared" si="0"/>
        <v>-220728</v>
      </c>
    </row>
    <row r="167" spans="1:6">
      <c r="A167" s="7">
        <v>0.82297453703703705</v>
      </c>
      <c r="B167" s="4" t="s">
        <v>23</v>
      </c>
      <c r="C167" s="4" t="s">
        <v>7</v>
      </c>
      <c r="D167" s="12">
        <v>72801</v>
      </c>
      <c r="E167" s="12">
        <v>3</v>
      </c>
      <c r="F167" s="13">
        <f t="shared" si="0"/>
        <v>218403</v>
      </c>
    </row>
    <row r="168" spans="1:6">
      <c r="A168" s="7">
        <v>0.82297453703703705</v>
      </c>
      <c r="B168" s="4" t="s">
        <v>21</v>
      </c>
      <c r="C168" s="4" t="s">
        <v>8</v>
      </c>
      <c r="D168" s="12">
        <v>73576</v>
      </c>
      <c r="E168" s="12">
        <v>3</v>
      </c>
      <c r="F168" s="13">
        <f t="shared" si="0"/>
        <v>-220728</v>
      </c>
    </row>
    <row r="169" spans="1:6">
      <c r="A169" s="7">
        <v>0.82297453703703705</v>
      </c>
      <c r="B169" s="4" t="s">
        <v>23</v>
      </c>
      <c r="C169" s="4" t="s">
        <v>7</v>
      </c>
      <c r="D169" s="12">
        <v>72801</v>
      </c>
      <c r="E169" s="12">
        <v>3</v>
      </c>
      <c r="F169" s="13">
        <f t="shared" si="0"/>
        <v>218403</v>
      </c>
    </row>
    <row r="170" spans="1:6">
      <c r="A170" s="7">
        <v>0.82297453703703705</v>
      </c>
      <c r="B170" s="4" t="s">
        <v>21</v>
      </c>
      <c r="C170" s="4" t="s">
        <v>8</v>
      </c>
      <c r="D170" s="12">
        <v>73576</v>
      </c>
      <c r="E170" s="12">
        <v>3</v>
      </c>
      <c r="F170" s="13">
        <f t="shared" si="0"/>
        <v>-220728</v>
      </c>
    </row>
    <row r="171" spans="1:6">
      <c r="A171" s="7">
        <v>0.82297453703703705</v>
      </c>
      <c r="B171" s="4" t="s">
        <v>23</v>
      </c>
      <c r="C171" s="4" t="s">
        <v>7</v>
      </c>
      <c r="D171" s="12">
        <v>72801</v>
      </c>
      <c r="E171" s="12">
        <v>3</v>
      </c>
      <c r="F171" s="13">
        <f t="shared" si="0"/>
        <v>218403</v>
      </c>
    </row>
    <row r="172" spans="1:6">
      <c r="A172" s="7">
        <v>0.82297453703703705</v>
      </c>
      <c r="B172" s="4" t="s">
        <v>21</v>
      </c>
      <c r="C172" s="4" t="s">
        <v>8</v>
      </c>
      <c r="D172" s="12">
        <v>73576</v>
      </c>
      <c r="E172" s="12">
        <v>3</v>
      </c>
      <c r="F172" s="13">
        <f t="shared" si="0"/>
        <v>-220728</v>
      </c>
    </row>
    <row r="173" spans="1:6">
      <c r="A173" s="7">
        <v>0.82297453703703705</v>
      </c>
      <c r="B173" s="4" t="s">
        <v>23</v>
      </c>
      <c r="C173" s="4" t="s">
        <v>7</v>
      </c>
      <c r="D173" s="12">
        <v>72801</v>
      </c>
      <c r="E173" s="12">
        <v>3</v>
      </c>
      <c r="F173" s="13">
        <f t="shared" si="0"/>
        <v>218403</v>
      </c>
    </row>
    <row r="174" spans="1:6">
      <c r="A174" s="7">
        <v>0.82297453703703705</v>
      </c>
      <c r="B174" s="4" t="s">
        <v>21</v>
      </c>
      <c r="C174" s="4" t="s">
        <v>8</v>
      </c>
      <c r="D174" s="12">
        <v>73576</v>
      </c>
      <c r="E174" s="12">
        <v>3</v>
      </c>
      <c r="F174" s="13">
        <f t="shared" si="0"/>
        <v>-220728</v>
      </c>
    </row>
    <row r="175" spans="1:6">
      <c r="A175" s="7">
        <v>0.82297453703703705</v>
      </c>
      <c r="B175" s="4" t="s">
        <v>23</v>
      </c>
      <c r="C175" s="4" t="s">
        <v>7</v>
      </c>
      <c r="D175" s="12">
        <v>72801</v>
      </c>
      <c r="E175" s="12">
        <v>3</v>
      </c>
      <c r="F175" s="13">
        <f t="shared" si="0"/>
        <v>218403</v>
      </c>
    </row>
    <row r="176" spans="1:6">
      <c r="A176" s="7">
        <v>0.82297453703703705</v>
      </c>
      <c r="B176" s="4" t="s">
        <v>21</v>
      </c>
      <c r="C176" s="4" t="s">
        <v>8</v>
      </c>
      <c r="D176" s="12">
        <v>73576</v>
      </c>
      <c r="E176" s="12">
        <v>3</v>
      </c>
      <c r="F176" s="13">
        <f t="shared" si="0"/>
        <v>-220728</v>
      </c>
    </row>
    <row r="177" spans="1:6">
      <c r="A177" s="7">
        <v>0.82297453703703705</v>
      </c>
      <c r="B177" s="4" t="s">
        <v>23</v>
      </c>
      <c r="C177" s="4" t="s">
        <v>7</v>
      </c>
      <c r="D177" s="12">
        <v>72801</v>
      </c>
      <c r="E177" s="12">
        <v>3</v>
      </c>
      <c r="F177" s="13">
        <f t="shared" si="0"/>
        <v>218403</v>
      </c>
    </row>
    <row r="178" spans="1:6">
      <c r="A178" s="7">
        <v>0.82295138888888886</v>
      </c>
      <c r="B178" s="4" t="s">
        <v>21</v>
      </c>
      <c r="C178" s="4" t="s">
        <v>8</v>
      </c>
      <c r="D178" s="12">
        <v>73576</v>
      </c>
      <c r="E178" s="12">
        <v>3</v>
      </c>
      <c r="F178" s="13">
        <f t="shared" si="0"/>
        <v>-220728</v>
      </c>
    </row>
    <row r="179" spans="1:6">
      <c r="A179" s="7">
        <v>0.82295138888888886</v>
      </c>
      <c r="B179" s="4" t="s">
        <v>23</v>
      </c>
      <c r="C179" s="4" t="s">
        <v>7</v>
      </c>
      <c r="D179" s="12">
        <v>72801</v>
      </c>
      <c r="E179" s="12">
        <v>3</v>
      </c>
      <c r="F179" s="13">
        <f t="shared" si="0"/>
        <v>218403</v>
      </c>
    </row>
    <row r="180" spans="1:6">
      <c r="A180" s="7">
        <v>0.82289351851851855</v>
      </c>
      <c r="B180" s="4" t="s">
        <v>21</v>
      </c>
      <c r="C180" s="4" t="s">
        <v>8</v>
      </c>
      <c r="D180" s="12">
        <v>73575</v>
      </c>
      <c r="E180" s="12">
        <v>3</v>
      </c>
      <c r="F180" s="13">
        <f t="shared" si="0"/>
        <v>-220725</v>
      </c>
    </row>
    <row r="181" spans="1:6">
      <c r="A181" s="7">
        <v>0.82289351851851855</v>
      </c>
      <c r="B181" s="4" t="s">
        <v>23</v>
      </c>
      <c r="C181" s="4" t="s">
        <v>7</v>
      </c>
      <c r="D181" s="12">
        <v>72800</v>
      </c>
      <c r="E181" s="12">
        <v>3</v>
      </c>
      <c r="F181" s="13">
        <f t="shared" si="0"/>
        <v>218400</v>
      </c>
    </row>
    <row r="182" spans="1:6">
      <c r="A182" s="7">
        <v>0.82276620370370368</v>
      </c>
      <c r="B182" s="4" t="s">
        <v>21</v>
      </c>
      <c r="C182" s="4" t="s">
        <v>8</v>
      </c>
      <c r="D182" s="12">
        <v>73576</v>
      </c>
      <c r="E182" s="12">
        <v>3</v>
      </c>
      <c r="F182" s="13">
        <f t="shared" si="0"/>
        <v>-220728</v>
      </c>
    </row>
    <row r="183" spans="1:6">
      <c r="A183" s="7">
        <v>0.82276620370370368</v>
      </c>
      <c r="B183" s="4" t="s">
        <v>23</v>
      </c>
      <c r="C183" s="4" t="s">
        <v>7</v>
      </c>
      <c r="D183" s="12">
        <v>72799</v>
      </c>
      <c r="E183" s="12">
        <v>3</v>
      </c>
      <c r="F183" s="13">
        <f t="shared" si="0"/>
        <v>218397</v>
      </c>
    </row>
    <row r="184" spans="1:6">
      <c r="A184" s="7">
        <v>0.82273148148148145</v>
      </c>
      <c r="B184" s="4" t="s">
        <v>21</v>
      </c>
      <c r="C184" s="4" t="s">
        <v>8</v>
      </c>
      <c r="D184" s="12">
        <v>73575</v>
      </c>
      <c r="E184" s="12">
        <v>1</v>
      </c>
      <c r="F184" s="13">
        <f t="shared" si="0"/>
        <v>-73575</v>
      </c>
    </row>
    <row r="185" spans="1:6">
      <c r="A185" s="7">
        <v>0.82273148148148145</v>
      </c>
      <c r="B185" s="4" t="s">
        <v>21</v>
      </c>
      <c r="C185" s="4" t="s">
        <v>8</v>
      </c>
      <c r="D185" s="12">
        <v>73573</v>
      </c>
      <c r="E185" s="12">
        <v>2</v>
      </c>
      <c r="F185" s="13">
        <f t="shared" si="0"/>
        <v>-147146</v>
      </c>
    </row>
    <row r="186" spans="1:6">
      <c r="A186" s="7">
        <v>0.82273148148148145</v>
      </c>
      <c r="B186" s="4" t="s">
        <v>23</v>
      </c>
      <c r="C186" s="4" t="s">
        <v>7</v>
      </c>
      <c r="D186" s="12">
        <v>72798</v>
      </c>
      <c r="E186" s="12">
        <v>3</v>
      </c>
      <c r="F186" s="13">
        <f t="shared" si="0"/>
        <v>218394</v>
      </c>
    </row>
    <row r="187" spans="1:6">
      <c r="A187" s="7">
        <v>0.82273148148148145</v>
      </c>
      <c r="B187" s="4" t="s">
        <v>21</v>
      </c>
      <c r="C187" s="4" t="s">
        <v>8</v>
      </c>
      <c r="D187" s="12">
        <v>73573</v>
      </c>
      <c r="E187" s="12">
        <v>3</v>
      </c>
      <c r="F187" s="13">
        <f t="shared" si="0"/>
        <v>-220719</v>
      </c>
    </row>
    <row r="188" spans="1:6">
      <c r="A188" s="7">
        <v>0.82273148148148145</v>
      </c>
      <c r="B188" s="4" t="s">
        <v>23</v>
      </c>
      <c r="C188" s="4" t="s">
        <v>7</v>
      </c>
      <c r="D188" s="12">
        <v>72798</v>
      </c>
      <c r="E188" s="12">
        <v>3</v>
      </c>
      <c r="F188" s="13">
        <f t="shared" si="0"/>
        <v>218394</v>
      </c>
    </row>
    <row r="189" spans="1:6">
      <c r="A189" s="7">
        <v>0.82268518518518519</v>
      </c>
      <c r="B189" s="4" t="s">
        <v>21</v>
      </c>
      <c r="C189" s="4" t="s">
        <v>8</v>
      </c>
      <c r="D189" s="12">
        <v>73573</v>
      </c>
      <c r="E189" s="12">
        <v>1</v>
      </c>
      <c r="F189" s="13">
        <f t="shared" si="0"/>
        <v>-73573</v>
      </c>
    </row>
    <row r="190" spans="1:6">
      <c r="A190" s="7">
        <v>0.82268518518518519</v>
      </c>
      <c r="B190" s="4" t="s">
        <v>23</v>
      </c>
      <c r="C190" s="4" t="s">
        <v>7</v>
      </c>
      <c r="D190" s="12">
        <v>72798</v>
      </c>
      <c r="E190" s="12">
        <v>1</v>
      </c>
      <c r="F190" s="13">
        <f t="shared" si="0"/>
        <v>72798</v>
      </c>
    </row>
    <row r="191" spans="1:6">
      <c r="A191" s="7">
        <v>0.82267361111111115</v>
      </c>
      <c r="B191" s="4" t="s">
        <v>21</v>
      </c>
      <c r="C191" s="4" t="s">
        <v>8</v>
      </c>
      <c r="D191" s="12">
        <v>73573</v>
      </c>
      <c r="E191" s="12">
        <v>3</v>
      </c>
      <c r="F191" s="13">
        <f t="shared" si="0"/>
        <v>-220719</v>
      </c>
    </row>
    <row r="192" spans="1:6">
      <c r="A192" s="7">
        <v>0.82267361111111115</v>
      </c>
      <c r="B192" s="4" t="s">
        <v>23</v>
      </c>
      <c r="C192" s="4" t="s">
        <v>7</v>
      </c>
      <c r="D192" s="12">
        <v>72798</v>
      </c>
      <c r="E192" s="12">
        <v>3</v>
      </c>
      <c r="F192" s="13">
        <f t="shared" si="0"/>
        <v>218394</v>
      </c>
    </row>
    <row r="193" spans="1:6">
      <c r="A193" s="7">
        <v>0.82265046296296296</v>
      </c>
      <c r="B193" s="4" t="s">
        <v>21</v>
      </c>
      <c r="C193" s="4" t="s">
        <v>8</v>
      </c>
      <c r="D193" s="12">
        <v>73569</v>
      </c>
      <c r="E193" s="12">
        <v>1</v>
      </c>
      <c r="F193" s="13">
        <f t="shared" si="0"/>
        <v>-73569</v>
      </c>
    </row>
    <row r="194" spans="1:6">
      <c r="A194" s="7">
        <v>0.82265046296296296</v>
      </c>
      <c r="B194" s="4" t="s">
        <v>23</v>
      </c>
      <c r="C194" s="4" t="s">
        <v>7</v>
      </c>
      <c r="D194" s="12">
        <v>72794</v>
      </c>
      <c r="E194" s="12">
        <v>1</v>
      </c>
      <c r="F194" s="13">
        <f t="shared" si="0"/>
        <v>72794</v>
      </c>
    </row>
    <row r="195" spans="1:6">
      <c r="A195" s="7">
        <v>0.82265046296296296</v>
      </c>
      <c r="B195" s="4" t="s">
        <v>21</v>
      </c>
      <c r="C195" s="4" t="s">
        <v>8</v>
      </c>
      <c r="D195" s="12">
        <v>73569</v>
      </c>
      <c r="E195" s="12">
        <v>1</v>
      </c>
      <c r="F195" s="13">
        <f t="shared" si="0"/>
        <v>-73569</v>
      </c>
    </row>
    <row r="196" spans="1:6">
      <c r="A196" s="7">
        <v>0.82265046296296296</v>
      </c>
      <c r="B196" s="4" t="s">
        <v>23</v>
      </c>
      <c r="C196" s="4" t="s">
        <v>7</v>
      </c>
      <c r="D196" s="12">
        <v>72794</v>
      </c>
      <c r="E196" s="12">
        <v>1</v>
      </c>
      <c r="F196" s="13">
        <f t="shared" si="0"/>
        <v>72794</v>
      </c>
    </row>
    <row r="197" spans="1:6">
      <c r="A197" s="7">
        <v>0.82262731481481477</v>
      </c>
      <c r="B197" s="4" t="s">
        <v>21</v>
      </c>
      <c r="C197" s="4" t="s">
        <v>8</v>
      </c>
      <c r="D197" s="12">
        <v>73569</v>
      </c>
      <c r="E197" s="12">
        <v>2</v>
      </c>
      <c r="F197" s="13">
        <f t="shared" si="0"/>
        <v>-147138</v>
      </c>
    </row>
    <row r="198" spans="1:6">
      <c r="A198" s="7">
        <v>0.82262731481481477</v>
      </c>
      <c r="B198" s="4" t="s">
        <v>21</v>
      </c>
      <c r="C198" s="4" t="s">
        <v>8</v>
      </c>
      <c r="D198" s="12">
        <v>73569</v>
      </c>
      <c r="E198" s="12">
        <v>1</v>
      </c>
      <c r="F198" s="13">
        <f t="shared" si="0"/>
        <v>-73569</v>
      </c>
    </row>
    <row r="199" spans="1:6">
      <c r="A199" s="7">
        <v>0.82262731481481477</v>
      </c>
      <c r="B199" s="4" t="s">
        <v>23</v>
      </c>
      <c r="C199" s="4" t="s">
        <v>7</v>
      </c>
      <c r="D199" s="12">
        <v>72794</v>
      </c>
      <c r="E199" s="12">
        <v>3</v>
      </c>
      <c r="F199" s="13">
        <f t="shared" si="0"/>
        <v>218382</v>
      </c>
    </row>
    <row r="200" spans="1:6">
      <c r="A200" s="7">
        <v>0.8225810185185185</v>
      </c>
      <c r="B200" s="4" t="s">
        <v>21</v>
      </c>
      <c r="C200" s="4" t="s">
        <v>8</v>
      </c>
      <c r="D200" s="12">
        <v>73572</v>
      </c>
      <c r="E200" s="12">
        <v>1</v>
      </c>
      <c r="F200" s="13">
        <f t="shared" si="0"/>
        <v>-73572</v>
      </c>
    </row>
    <row r="201" spans="1:6">
      <c r="A201" s="7">
        <v>0.8225810185185185</v>
      </c>
      <c r="B201" s="4" t="s">
        <v>23</v>
      </c>
      <c r="C201" s="4" t="s">
        <v>7</v>
      </c>
      <c r="D201" s="12">
        <v>72795</v>
      </c>
      <c r="E201" s="12">
        <v>1</v>
      </c>
      <c r="F201" s="13">
        <f t="shared" si="0"/>
        <v>72795</v>
      </c>
    </row>
    <row r="202" spans="1:6">
      <c r="A202" s="7">
        <v>0.82229166666666664</v>
      </c>
      <c r="B202" s="4" t="s">
        <v>21</v>
      </c>
      <c r="C202" s="4" t="s">
        <v>8</v>
      </c>
      <c r="D202" s="12">
        <v>73580</v>
      </c>
      <c r="E202" s="12">
        <v>3</v>
      </c>
      <c r="F202" s="13">
        <f t="shared" si="0"/>
        <v>-220740</v>
      </c>
    </row>
    <row r="203" spans="1:6">
      <c r="A203" s="7">
        <v>0.82229166666666664</v>
      </c>
      <c r="B203" s="4" t="s">
        <v>23</v>
      </c>
      <c r="C203" s="4" t="s">
        <v>7</v>
      </c>
      <c r="D203" s="12">
        <v>72802</v>
      </c>
      <c r="E203" s="12">
        <v>3</v>
      </c>
      <c r="F203" s="13">
        <f t="shared" si="0"/>
        <v>218406</v>
      </c>
    </row>
    <row r="204" spans="1:6">
      <c r="A204" s="7">
        <v>0.82229166666666664</v>
      </c>
      <c r="B204" s="4" t="s">
        <v>21</v>
      </c>
      <c r="C204" s="4" t="s">
        <v>8</v>
      </c>
      <c r="D204" s="12">
        <v>73577</v>
      </c>
      <c r="E204" s="12">
        <v>3</v>
      </c>
      <c r="F204" s="13">
        <f t="shared" si="0"/>
        <v>-220731</v>
      </c>
    </row>
    <row r="205" spans="1:6">
      <c r="A205" s="7">
        <v>0.82229166666666664</v>
      </c>
      <c r="B205" s="4" t="s">
        <v>23</v>
      </c>
      <c r="C205" s="4" t="s">
        <v>7</v>
      </c>
      <c r="D205" s="12">
        <v>72802</v>
      </c>
      <c r="E205" s="12">
        <v>3</v>
      </c>
      <c r="F205" s="13">
        <f t="shared" si="0"/>
        <v>218406</v>
      </c>
    </row>
    <row r="206" spans="1:6">
      <c r="A206" s="7">
        <v>0.82171296296296292</v>
      </c>
      <c r="B206" s="4" t="s">
        <v>21</v>
      </c>
      <c r="C206" s="4" t="s">
        <v>8</v>
      </c>
      <c r="D206" s="12">
        <v>73600</v>
      </c>
      <c r="E206" s="12">
        <v>3</v>
      </c>
      <c r="F206" s="13">
        <f t="shared" si="0"/>
        <v>-220800</v>
      </c>
    </row>
    <row r="207" spans="1:6">
      <c r="A207" s="7">
        <v>0.82171296296296292</v>
      </c>
      <c r="B207" s="4" t="s">
        <v>23</v>
      </c>
      <c r="C207" s="4" t="s">
        <v>7</v>
      </c>
      <c r="D207" s="12">
        <v>72825</v>
      </c>
      <c r="E207" s="12">
        <v>3</v>
      </c>
      <c r="F207" s="13">
        <f t="shared" si="0"/>
        <v>218475</v>
      </c>
    </row>
    <row r="208" spans="1:6">
      <c r="A208" s="7">
        <v>0.82168981481481485</v>
      </c>
      <c r="B208" s="4" t="s">
        <v>21</v>
      </c>
      <c r="C208" s="4" t="s">
        <v>8</v>
      </c>
      <c r="D208" s="12">
        <v>73600</v>
      </c>
      <c r="E208" s="12">
        <v>1</v>
      </c>
      <c r="F208" s="13">
        <f t="shared" si="0"/>
        <v>-73600</v>
      </c>
    </row>
    <row r="209" spans="1:6">
      <c r="A209" s="7">
        <v>0.82168981481481485</v>
      </c>
      <c r="B209" s="4" t="s">
        <v>23</v>
      </c>
      <c r="C209" s="4" t="s">
        <v>7</v>
      </c>
      <c r="D209" s="12">
        <v>72825</v>
      </c>
      <c r="E209" s="12">
        <v>1</v>
      </c>
      <c r="F209" s="13">
        <f t="shared" si="0"/>
        <v>72825</v>
      </c>
    </row>
    <row r="210" spans="1:6">
      <c r="A210" s="7">
        <v>0.8216782407407407</v>
      </c>
      <c r="B210" s="4" t="s">
        <v>21</v>
      </c>
      <c r="C210" s="4" t="s">
        <v>8</v>
      </c>
      <c r="D210" s="12">
        <v>73600</v>
      </c>
      <c r="E210" s="12">
        <v>1</v>
      </c>
      <c r="F210" s="13">
        <f t="shared" si="0"/>
        <v>-73600</v>
      </c>
    </row>
    <row r="211" spans="1:6">
      <c r="A211" s="7">
        <v>0.8216782407407407</v>
      </c>
      <c r="B211" s="4" t="s">
        <v>23</v>
      </c>
      <c r="C211" s="4" t="s">
        <v>7</v>
      </c>
      <c r="D211" s="12">
        <v>72825</v>
      </c>
      <c r="E211" s="12">
        <v>1</v>
      </c>
      <c r="F211" s="13">
        <f t="shared" si="0"/>
        <v>72825</v>
      </c>
    </row>
    <row r="212" spans="1:6">
      <c r="A212" s="7">
        <v>0.82166666666666666</v>
      </c>
      <c r="B212" s="4" t="s">
        <v>21</v>
      </c>
      <c r="C212" s="4" t="s">
        <v>8</v>
      </c>
      <c r="D212" s="12">
        <v>73600</v>
      </c>
      <c r="E212" s="12">
        <v>1</v>
      </c>
      <c r="F212" s="13">
        <f t="shared" si="0"/>
        <v>-73600</v>
      </c>
    </row>
    <row r="213" spans="1:6">
      <c r="A213" s="7">
        <v>0.82166666666666666</v>
      </c>
      <c r="B213" s="4" t="s">
        <v>23</v>
      </c>
      <c r="C213" s="4" t="s">
        <v>7</v>
      </c>
      <c r="D213" s="12">
        <v>72825</v>
      </c>
      <c r="E213" s="12">
        <v>1</v>
      </c>
      <c r="F213" s="13">
        <f t="shared" si="0"/>
        <v>72825</v>
      </c>
    </row>
    <row r="214" spans="1:6">
      <c r="A214" s="7">
        <v>0.82166666666666666</v>
      </c>
      <c r="B214" s="4" t="s">
        <v>21</v>
      </c>
      <c r="C214" s="4" t="s">
        <v>8</v>
      </c>
      <c r="D214" s="12">
        <v>73600</v>
      </c>
      <c r="E214" s="12">
        <v>3</v>
      </c>
      <c r="F214" s="13">
        <f t="shared" si="0"/>
        <v>-220800</v>
      </c>
    </row>
    <row r="215" spans="1:6">
      <c r="A215" s="7">
        <v>0.82166666666666666</v>
      </c>
      <c r="B215" s="4" t="s">
        <v>23</v>
      </c>
      <c r="C215" s="4" t="s">
        <v>7</v>
      </c>
      <c r="D215" s="12">
        <v>72825</v>
      </c>
      <c r="E215" s="12">
        <v>3</v>
      </c>
      <c r="F215" s="13">
        <f t="shared" si="0"/>
        <v>218475</v>
      </c>
    </row>
    <row r="216" spans="1:6">
      <c r="A216" s="7">
        <v>0.8215972222222222</v>
      </c>
      <c r="B216" s="4" t="s">
        <v>21</v>
      </c>
      <c r="C216" s="4" t="s">
        <v>8</v>
      </c>
      <c r="D216" s="12">
        <v>73598</v>
      </c>
      <c r="E216" s="12">
        <v>2</v>
      </c>
      <c r="F216" s="13">
        <f t="shared" si="0"/>
        <v>-147196</v>
      </c>
    </row>
    <row r="217" spans="1:6">
      <c r="A217" s="7">
        <v>0.8215972222222222</v>
      </c>
      <c r="B217" s="4" t="s">
        <v>21</v>
      </c>
      <c r="C217" s="4" t="s">
        <v>8</v>
      </c>
      <c r="D217" s="12">
        <v>73598</v>
      </c>
      <c r="E217" s="12">
        <v>1</v>
      </c>
      <c r="F217" s="13">
        <f t="shared" si="0"/>
        <v>-73598</v>
      </c>
    </row>
    <row r="218" spans="1:6">
      <c r="A218" s="7">
        <v>0.8215972222222222</v>
      </c>
      <c r="B218" s="4" t="s">
        <v>23</v>
      </c>
      <c r="C218" s="4" t="s">
        <v>7</v>
      </c>
      <c r="D218" s="12">
        <v>72823</v>
      </c>
      <c r="E218" s="12">
        <v>3</v>
      </c>
      <c r="F218" s="13">
        <f t="shared" si="0"/>
        <v>218469</v>
      </c>
    </row>
    <row r="219" spans="1:6">
      <c r="A219" s="7">
        <v>0.82151620370370371</v>
      </c>
      <c r="B219" s="4" t="s">
        <v>21</v>
      </c>
      <c r="C219" s="4" t="s">
        <v>8</v>
      </c>
      <c r="D219" s="12">
        <v>73596</v>
      </c>
      <c r="E219" s="12">
        <v>1</v>
      </c>
      <c r="F219" s="13">
        <f t="shared" si="0"/>
        <v>-73596</v>
      </c>
    </row>
    <row r="220" spans="1:6">
      <c r="A220" s="7">
        <v>0.82151620370370371</v>
      </c>
      <c r="B220" s="4" t="s">
        <v>23</v>
      </c>
      <c r="C220" s="4" t="s">
        <v>7</v>
      </c>
      <c r="D220" s="12">
        <v>72821</v>
      </c>
      <c r="E220" s="12">
        <v>1</v>
      </c>
      <c r="F220" s="13">
        <f t="shared" si="0"/>
        <v>72821</v>
      </c>
    </row>
    <row r="221" spans="1:6">
      <c r="A221" s="7">
        <v>0.82151620370370371</v>
      </c>
      <c r="B221" s="4" t="s">
        <v>21</v>
      </c>
      <c r="C221" s="4" t="s">
        <v>8</v>
      </c>
      <c r="D221" s="12">
        <v>73596</v>
      </c>
      <c r="E221" s="12">
        <v>1</v>
      </c>
      <c r="F221" s="13">
        <f t="shared" si="0"/>
        <v>-73596</v>
      </c>
    </row>
    <row r="222" spans="1:6">
      <c r="A222" s="7">
        <v>0.82151620370370371</v>
      </c>
      <c r="B222" s="4" t="s">
        <v>23</v>
      </c>
      <c r="C222" s="4" t="s">
        <v>7</v>
      </c>
      <c r="D222" s="12">
        <v>72821</v>
      </c>
      <c r="E222" s="12">
        <v>1</v>
      </c>
      <c r="F222" s="13">
        <f t="shared" si="0"/>
        <v>72821</v>
      </c>
    </row>
    <row r="223" spans="1:6">
      <c r="A223" s="7">
        <v>0.82150462962962967</v>
      </c>
      <c r="B223" s="4" t="s">
        <v>21</v>
      </c>
      <c r="C223" s="4" t="s">
        <v>8</v>
      </c>
      <c r="D223" s="12">
        <v>73596</v>
      </c>
      <c r="E223" s="12">
        <v>1</v>
      </c>
      <c r="F223" s="13">
        <f t="shared" si="0"/>
        <v>-73596</v>
      </c>
    </row>
    <row r="224" spans="1:6">
      <c r="A224" s="7">
        <v>0.82150462962962967</v>
      </c>
      <c r="B224" s="4" t="s">
        <v>23</v>
      </c>
      <c r="C224" s="4" t="s">
        <v>7</v>
      </c>
      <c r="D224" s="12">
        <v>72821</v>
      </c>
      <c r="E224" s="12">
        <v>1</v>
      </c>
      <c r="F224" s="13">
        <f t="shared" si="0"/>
        <v>72821</v>
      </c>
    </row>
    <row r="225" spans="1:6">
      <c r="A225" s="7">
        <v>0.8209953703703704</v>
      </c>
      <c r="B225" s="4" t="s">
        <v>21</v>
      </c>
      <c r="C225" s="4" t="s">
        <v>8</v>
      </c>
      <c r="D225" s="12">
        <v>73592</v>
      </c>
      <c r="E225" s="12">
        <v>2</v>
      </c>
      <c r="F225" s="13">
        <f t="shared" si="0"/>
        <v>-147184</v>
      </c>
    </row>
    <row r="226" spans="1:6">
      <c r="A226" s="7">
        <v>0.8209953703703704</v>
      </c>
      <c r="B226" s="4" t="s">
        <v>23</v>
      </c>
      <c r="C226" s="4" t="s">
        <v>7</v>
      </c>
      <c r="D226" s="12">
        <v>72817</v>
      </c>
      <c r="E226" s="12">
        <v>2</v>
      </c>
      <c r="F226" s="13">
        <f t="shared" si="0"/>
        <v>145634</v>
      </c>
    </row>
    <row r="227" spans="1:6">
      <c r="A227" s="7">
        <v>0.82098379629629625</v>
      </c>
      <c r="B227" s="4" t="s">
        <v>21</v>
      </c>
      <c r="C227" s="4" t="s">
        <v>8</v>
      </c>
      <c r="D227" s="12">
        <v>73592</v>
      </c>
      <c r="E227" s="12">
        <v>1</v>
      </c>
      <c r="F227" s="13">
        <f t="shared" si="0"/>
        <v>-73592</v>
      </c>
    </row>
    <row r="228" spans="1:6">
      <c r="A228" s="7">
        <v>0.82098379629629625</v>
      </c>
      <c r="B228" s="4" t="s">
        <v>23</v>
      </c>
      <c r="C228" s="4" t="s">
        <v>7</v>
      </c>
      <c r="D228" s="12">
        <v>72817</v>
      </c>
      <c r="E228" s="12">
        <v>1</v>
      </c>
      <c r="F228" s="13">
        <f t="shared" si="0"/>
        <v>72817</v>
      </c>
    </row>
    <row r="229" spans="1:6">
      <c r="A229" s="7">
        <v>0.82074074074074077</v>
      </c>
      <c r="B229" s="4" t="s">
        <v>21</v>
      </c>
      <c r="C229" s="4" t="s">
        <v>8</v>
      </c>
      <c r="D229" s="12">
        <v>73584</v>
      </c>
      <c r="E229" s="12">
        <v>2</v>
      </c>
      <c r="F229" s="13">
        <f t="shared" si="0"/>
        <v>-147168</v>
      </c>
    </row>
    <row r="230" spans="1:6">
      <c r="A230" s="7">
        <v>0.82074074074074077</v>
      </c>
      <c r="B230" s="4" t="s">
        <v>23</v>
      </c>
      <c r="C230" s="4" t="s">
        <v>7</v>
      </c>
      <c r="D230" s="12">
        <v>72809</v>
      </c>
      <c r="E230" s="12">
        <v>2</v>
      </c>
      <c r="F230" s="13">
        <f t="shared" si="0"/>
        <v>145618</v>
      </c>
    </row>
    <row r="231" spans="1:6">
      <c r="A231" s="7">
        <v>0.82074074074074077</v>
      </c>
      <c r="B231" s="4" t="s">
        <v>21</v>
      </c>
      <c r="C231" s="4" t="s">
        <v>8</v>
      </c>
      <c r="D231" s="12">
        <v>73590</v>
      </c>
      <c r="E231" s="12">
        <v>3</v>
      </c>
      <c r="F231" s="13">
        <f t="shared" si="0"/>
        <v>-220770</v>
      </c>
    </row>
    <row r="232" spans="1:6">
      <c r="A232" s="7">
        <v>0.82074074074074077</v>
      </c>
      <c r="B232" s="4" t="s">
        <v>23</v>
      </c>
      <c r="C232" s="4" t="s">
        <v>7</v>
      </c>
      <c r="D232" s="12">
        <v>72813</v>
      </c>
      <c r="E232" s="12">
        <v>3</v>
      </c>
      <c r="F232" s="13">
        <f t="shared" si="0"/>
        <v>218439</v>
      </c>
    </row>
    <row r="233" spans="1:6">
      <c r="A233" s="7">
        <v>0.82072916666666662</v>
      </c>
      <c r="B233" s="4" t="s">
        <v>21</v>
      </c>
      <c r="C233" s="4" t="s">
        <v>8</v>
      </c>
      <c r="D233" s="12">
        <v>73586</v>
      </c>
      <c r="E233" s="12">
        <v>1</v>
      </c>
      <c r="F233" s="13">
        <f t="shared" si="0"/>
        <v>-73586</v>
      </c>
    </row>
    <row r="234" spans="1:6">
      <c r="A234" s="7">
        <v>0.82072916666666662</v>
      </c>
      <c r="B234" s="4" t="s">
        <v>21</v>
      </c>
      <c r="C234" s="4" t="s">
        <v>8</v>
      </c>
      <c r="D234" s="12">
        <v>73586</v>
      </c>
      <c r="E234" s="12">
        <v>1</v>
      </c>
      <c r="F234" s="13">
        <f t="shared" si="0"/>
        <v>-73586</v>
      </c>
    </row>
    <row r="235" spans="1:6">
      <c r="A235" s="7">
        <v>0.82072916666666662</v>
      </c>
      <c r="B235" s="4" t="s">
        <v>21</v>
      </c>
      <c r="C235" s="4" t="s">
        <v>8</v>
      </c>
      <c r="D235" s="12">
        <v>73586</v>
      </c>
      <c r="E235" s="12">
        <v>1</v>
      </c>
      <c r="F235" s="13">
        <f t="shared" si="0"/>
        <v>-73586</v>
      </c>
    </row>
    <row r="236" spans="1:6">
      <c r="A236" s="7">
        <v>0.82072916666666662</v>
      </c>
      <c r="B236" s="4" t="s">
        <v>23</v>
      </c>
      <c r="C236" s="4" t="s">
        <v>7</v>
      </c>
      <c r="D236" s="12">
        <v>72811</v>
      </c>
      <c r="E236" s="12">
        <v>3</v>
      </c>
      <c r="F236" s="13">
        <f t="shared" si="0"/>
        <v>218433</v>
      </c>
    </row>
    <row r="237" spans="1:6">
      <c r="A237" s="7">
        <v>0.81927083333333328</v>
      </c>
      <c r="B237" s="4" t="s">
        <v>21</v>
      </c>
      <c r="C237" s="4" t="s">
        <v>8</v>
      </c>
      <c r="D237" s="12">
        <v>73597</v>
      </c>
      <c r="E237" s="12">
        <v>5</v>
      </c>
      <c r="F237" s="13">
        <f t="shared" si="0"/>
        <v>-367985</v>
      </c>
    </row>
    <row r="238" spans="1:6">
      <c r="A238" s="7">
        <v>0.81927083333333328</v>
      </c>
      <c r="B238" s="4" t="s">
        <v>23</v>
      </c>
      <c r="C238" s="4" t="s">
        <v>7</v>
      </c>
      <c r="D238" s="12">
        <v>72820</v>
      </c>
      <c r="E238" s="12">
        <v>5</v>
      </c>
      <c r="F238" s="13">
        <f t="shared" si="0"/>
        <v>364100</v>
      </c>
    </row>
    <row r="239" spans="1:6">
      <c r="A239" s="7">
        <v>0.81927083333333328</v>
      </c>
      <c r="B239" s="4" t="s">
        <v>21</v>
      </c>
      <c r="C239" s="4" t="s">
        <v>8</v>
      </c>
      <c r="D239" s="12">
        <v>73597</v>
      </c>
      <c r="E239" s="12">
        <v>5</v>
      </c>
      <c r="F239" s="13">
        <f t="shared" si="0"/>
        <v>-367985</v>
      </c>
    </row>
    <row r="240" spans="1:6">
      <c r="A240" s="7">
        <v>0.81927083333333328</v>
      </c>
      <c r="B240" s="4" t="s">
        <v>23</v>
      </c>
      <c r="C240" s="4" t="s">
        <v>7</v>
      </c>
      <c r="D240" s="12">
        <v>72820</v>
      </c>
      <c r="E240" s="12">
        <v>5</v>
      </c>
      <c r="F240" s="13">
        <f t="shared" si="0"/>
        <v>364100</v>
      </c>
    </row>
    <row r="241" spans="1:6">
      <c r="A241" s="7">
        <v>0.8192476851851852</v>
      </c>
      <c r="B241" s="4" t="s">
        <v>21</v>
      </c>
      <c r="C241" s="4" t="s">
        <v>8</v>
      </c>
      <c r="D241" s="12">
        <v>73600</v>
      </c>
      <c r="E241" s="12">
        <v>2</v>
      </c>
      <c r="F241" s="13">
        <f t="shared" si="0"/>
        <v>-147200</v>
      </c>
    </row>
    <row r="242" spans="1:6">
      <c r="A242" s="7">
        <v>0.8192476851851852</v>
      </c>
      <c r="B242" s="4" t="s">
        <v>23</v>
      </c>
      <c r="C242" s="4" t="s">
        <v>7</v>
      </c>
      <c r="D242" s="12">
        <v>72823</v>
      </c>
      <c r="E242" s="12">
        <v>2</v>
      </c>
      <c r="F242" s="13">
        <f t="shared" si="0"/>
        <v>145646</v>
      </c>
    </row>
    <row r="243" spans="1:6">
      <c r="A243" s="7">
        <v>0.8192476851851852</v>
      </c>
      <c r="B243" s="4" t="s">
        <v>21</v>
      </c>
      <c r="C243" s="4" t="s">
        <v>8</v>
      </c>
      <c r="D243" s="12">
        <v>73600</v>
      </c>
      <c r="E243" s="12">
        <v>1</v>
      </c>
      <c r="F243" s="13">
        <f t="shared" si="0"/>
        <v>-73600</v>
      </c>
    </row>
    <row r="244" spans="1:6">
      <c r="A244" s="7">
        <v>0.8192476851851852</v>
      </c>
      <c r="B244" s="4" t="s">
        <v>23</v>
      </c>
      <c r="C244" s="4" t="s">
        <v>7</v>
      </c>
      <c r="D244" s="12">
        <v>72823</v>
      </c>
      <c r="E244" s="12">
        <v>1</v>
      </c>
      <c r="F244" s="13">
        <f t="shared" si="0"/>
        <v>72823</v>
      </c>
    </row>
    <row r="245" spans="1:6">
      <c r="A245" s="7">
        <v>0.81916666666666671</v>
      </c>
      <c r="B245" s="4" t="s">
        <v>21</v>
      </c>
      <c r="C245" s="4" t="s">
        <v>8</v>
      </c>
      <c r="D245" s="12">
        <v>73600</v>
      </c>
      <c r="E245" s="12">
        <v>5</v>
      </c>
      <c r="F245" s="13">
        <f t="shared" si="0"/>
        <v>-368000</v>
      </c>
    </row>
    <row r="246" spans="1:6">
      <c r="A246" s="7">
        <v>0.81916666666666671</v>
      </c>
      <c r="B246" s="4" t="s">
        <v>23</v>
      </c>
      <c r="C246" s="4" t="s">
        <v>7</v>
      </c>
      <c r="D246" s="12">
        <v>72823</v>
      </c>
      <c r="E246" s="12">
        <v>5</v>
      </c>
      <c r="F246" s="13">
        <f t="shared" si="0"/>
        <v>364115</v>
      </c>
    </row>
    <row r="247" spans="1:6">
      <c r="A247" s="7">
        <v>0.80819444444444444</v>
      </c>
      <c r="B247" s="4" t="s">
        <v>21</v>
      </c>
      <c r="C247" s="4" t="s">
        <v>8</v>
      </c>
      <c r="D247" s="12">
        <v>73557</v>
      </c>
      <c r="E247" s="12">
        <v>1</v>
      </c>
      <c r="F247" s="13">
        <f t="shared" si="0"/>
        <v>-73557</v>
      </c>
    </row>
    <row r="248" spans="1:6">
      <c r="A248" s="7">
        <v>0.80819444444444444</v>
      </c>
      <c r="B248" s="4" t="s">
        <v>23</v>
      </c>
      <c r="C248" s="4" t="s">
        <v>7</v>
      </c>
      <c r="D248" s="12">
        <v>72776</v>
      </c>
      <c r="E248" s="12">
        <v>1</v>
      </c>
      <c r="F248" s="13">
        <f t="shared" si="0"/>
        <v>72776</v>
      </c>
    </row>
    <row r="249" spans="1:6">
      <c r="A249" s="7">
        <v>0.80819444444444444</v>
      </c>
      <c r="B249" s="4" t="s">
        <v>21</v>
      </c>
      <c r="C249" s="4" t="s">
        <v>8</v>
      </c>
      <c r="D249" s="12">
        <v>73561</v>
      </c>
      <c r="E249" s="12">
        <v>1</v>
      </c>
      <c r="F249" s="13">
        <f t="shared" si="0"/>
        <v>-73561</v>
      </c>
    </row>
    <row r="250" spans="1:6">
      <c r="A250" s="7">
        <v>0.80819444444444444</v>
      </c>
      <c r="B250" s="4" t="s">
        <v>21</v>
      </c>
      <c r="C250" s="4" t="s">
        <v>8</v>
      </c>
      <c r="D250" s="12">
        <v>73561</v>
      </c>
      <c r="E250" s="12">
        <v>1</v>
      </c>
      <c r="F250" s="13">
        <f t="shared" si="0"/>
        <v>-73561</v>
      </c>
    </row>
    <row r="251" spans="1:6">
      <c r="A251" s="7">
        <v>0.80819444444444444</v>
      </c>
      <c r="B251" s="4" t="s">
        <v>23</v>
      </c>
      <c r="C251" s="4" t="s">
        <v>7</v>
      </c>
      <c r="D251" s="12">
        <v>72780</v>
      </c>
      <c r="E251" s="12">
        <v>1</v>
      </c>
      <c r="F251" s="13">
        <f t="shared" si="0"/>
        <v>72780</v>
      </c>
    </row>
    <row r="252" spans="1:6">
      <c r="A252" s="7">
        <v>0.80819444444444444</v>
      </c>
      <c r="B252" s="4" t="s">
        <v>23</v>
      </c>
      <c r="C252" s="4" t="s">
        <v>7</v>
      </c>
      <c r="D252" s="12">
        <v>72780</v>
      </c>
      <c r="E252" s="12">
        <v>1</v>
      </c>
      <c r="F252" s="13">
        <f t="shared" si="0"/>
        <v>72780</v>
      </c>
    </row>
    <row r="253" spans="1:6">
      <c r="A253" s="7">
        <v>0.80819444444444444</v>
      </c>
      <c r="B253" s="4" t="s">
        <v>21</v>
      </c>
      <c r="C253" s="4" t="s">
        <v>8</v>
      </c>
      <c r="D253" s="12">
        <v>73561</v>
      </c>
      <c r="E253" s="12">
        <v>1</v>
      </c>
      <c r="F253" s="13">
        <f t="shared" si="0"/>
        <v>-73561</v>
      </c>
    </row>
    <row r="254" spans="1:6">
      <c r="A254" s="7">
        <v>0.80819444444444444</v>
      </c>
      <c r="B254" s="4" t="s">
        <v>23</v>
      </c>
      <c r="C254" s="4" t="s">
        <v>7</v>
      </c>
      <c r="D254" s="12">
        <v>72780</v>
      </c>
      <c r="E254" s="12">
        <v>1</v>
      </c>
      <c r="F254" s="13">
        <f t="shared" si="0"/>
        <v>72780</v>
      </c>
    </row>
    <row r="255" spans="1:6">
      <c r="A255" s="7">
        <v>0.80819444444444444</v>
      </c>
      <c r="B255" s="4" t="s">
        <v>21</v>
      </c>
      <c r="C255" s="4" t="s">
        <v>8</v>
      </c>
      <c r="D255" s="12">
        <v>73562</v>
      </c>
      <c r="E255" s="12">
        <v>2</v>
      </c>
      <c r="F255" s="13">
        <f t="shared" si="0"/>
        <v>-147124</v>
      </c>
    </row>
    <row r="256" spans="1:6">
      <c r="A256" s="7">
        <v>0.80819444444444444</v>
      </c>
      <c r="B256" s="4" t="s">
        <v>23</v>
      </c>
      <c r="C256" s="4" t="s">
        <v>7</v>
      </c>
      <c r="D256" s="12">
        <v>72781</v>
      </c>
      <c r="E256" s="12">
        <v>2</v>
      </c>
      <c r="F256" s="13">
        <f t="shared" si="0"/>
        <v>145562</v>
      </c>
    </row>
    <row r="257" spans="1:6">
      <c r="A257" s="7">
        <v>0.80819444444444444</v>
      </c>
      <c r="B257" s="4" t="s">
        <v>21</v>
      </c>
      <c r="C257" s="4" t="s">
        <v>8</v>
      </c>
      <c r="D257" s="12">
        <v>73562</v>
      </c>
      <c r="E257" s="12">
        <v>2</v>
      </c>
      <c r="F257" s="13">
        <f t="shared" si="0"/>
        <v>-147124</v>
      </c>
    </row>
    <row r="258" spans="1:6">
      <c r="A258" s="7">
        <v>0.80819444444444444</v>
      </c>
      <c r="B258" s="4" t="s">
        <v>23</v>
      </c>
      <c r="C258" s="4" t="s">
        <v>7</v>
      </c>
      <c r="D258" s="12">
        <v>72779</v>
      </c>
      <c r="E258" s="12">
        <v>2</v>
      </c>
      <c r="F258" s="13">
        <f t="shared" si="0"/>
        <v>145558</v>
      </c>
    </row>
    <row r="259" spans="1:6">
      <c r="A259" s="7">
        <v>0.80811342592592594</v>
      </c>
      <c r="B259" s="4" t="s">
        <v>21</v>
      </c>
      <c r="C259" s="4" t="s">
        <v>8</v>
      </c>
      <c r="D259" s="12">
        <v>73558</v>
      </c>
      <c r="E259" s="12">
        <v>2</v>
      </c>
      <c r="F259" s="13">
        <f t="shared" si="0"/>
        <v>-147116</v>
      </c>
    </row>
    <row r="260" spans="1:6">
      <c r="A260" s="7">
        <v>0.80811342592592594</v>
      </c>
      <c r="B260" s="4" t="s">
        <v>23</v>
      </c>
      <c r="C260" s="4" t="s">
        <v>7</v>
      </c>
      <c r="D260" s="12">
        <v>72777</v>
      </c>
      <c r="E260" s="12">
        <v>2</v>
      </c>
      <c r="F260" s="13">
        <f t="shared" si="0"/>
        <v>145554</v>
      </c>
    </row>
    <row r="261" spans="1:6">
      <c r="A261" s="7">
        <v>0.80458333333333332</v>
      </c>
      <c r="B261" s="4" t="s">
        <v>21</v>
      </c>
      <c r="C261" s="4" t="s">
        <v>8</v>
      </c>
      <c r="D261" s="12">
        <v>73548</v>
      </c>
      <c r="E261" s="12">
        <v>2</v>
      </c>
      <c r="F261" s="13">
        <f t="shared" si="0"/>
        <v>-147096</v>
      </c>
    </row>
    <row r="262" spans="1:6">
      <c r="A262" s="7">
        <v>0.80458333333333332</v>
      </c>
      <c r="B262" s="4" t="s">
        <v>23</v>
      </c>
      <c r="C262" s="4" t="s">
        <v>7</v>
      </c>
      <c r="D262" s="12">
        <v>72767</v>
      </c>
      <c r="E262" s="12">
        <v>2</v>
      </c>
      <c r="F262" s="13">
        <f t="shared" si="0"/>
        <v>145534</v>
      </c>
    </row>
    <row r="263" spans="1:6">
      <c r="A263" s="7">
        <v>0.80458333333333332</v>
      </c>
      <c r="B263" s="4" t="s">
        <v>21</v>
      </c>
      <c r="C263" s="4" t="s">
        <v>8</v>
      </c>
      <c r="D263" s="12">
        <v>73548</v>
      </c>
      <c r="E263" s="12">
        <v>2</v>
      </c>
      <c r="F263" s="13">
        <f t="shared" si="0"/>
        <v>-147096</v>
      </c>
    </row>
    <row r="264" spans="1:6">
      <c r="A264" s="7">
        <v>0.80458333333333332</v>
      </c>
      <c r="B264" s="4" t="s">
        <v>23</v>
      </c>
      <c r="C264" s="4" t="s">
        <v>7</v>
      </c>
      <c r="D264" s="12">
        <v>72767</v>
      </c>
      <c r="E264" s="12">
        <v>2</v>
      </c>
      <c r="F264" s="13">
        <f t="shared" si="0"/>
        <v>145534</v>
      </c>
    </row>
    <row r="265" spans="1:6">
      <c r="A265" s="7">
        <v>0.80458333333333332</v>
      </c>
      <c r="B265" s="4" t="s">
        <v>21</v>
      </c>
      <c r="C265" s="4" t="s">
        <v>8</v>
      </c>
      <c r="D265" s="12">
        <v>73548</v>
      </c>
      <c r="E265" s="12">
        <v>2</v>
      </c>
      <c r="F265" s="13">
        <f t="shared" si="0"/>
        <v>-147096</v>
      </c>
    </row>
    <row r="266" spans="1:6">
      <c r="A266" s="7">
        <v>0.80458333333333332</v>
      </c>
      <c r="B266" s="4" t="s">
        <v>23</v>
      </c>
      <c r="C266" s="4" t="s">
        <v>7</v>
      </c>
      <c r="D266" s="12">
        <v>72767</v>
      </c>
      <c r="E266" s="12">
        <v>2</v>
      </c>
      <c r="F266" s="13">
        <f t="shared" si="0"/>
        <v>145534</v>
      </c>
    </row>
    <row r="267" spans="1:6">
      <c r="A267" s="7">
        <v>0.80458333333333332</v>
      </c>
      <c r="B267" s="4" t="s">
        <v>21</v>
      </c>
      <c r="C267" s="4" t="s">
        <v>8</v>
      </c>
      <c r="D267" s="12">
        <v>73548</v>
      </c>
      <c r="E267" s="12">
        <v>2</v>
      </c>
      <c r="F267" s="13">
        <f t="shared" si="0"/>
        <v>-147096</v>
      </c>
    </row>
    <row r="268" spans="1:6">
      <c r="A268" s="7">
        <v>0.80458333333333332</v>
      </c>
      <c r="B268" s="4" t="s">
        <v>23</v>
      </c>
      <c r="C268" s="4" t="s">
        <v>7</v>
      </c>
      <c r="D268" s="12">
        <v>72767</v>
      </c>
      <c r="E268" s="12">
        <v>2</v>
      </c>
      <c r="F268" s="13">
        <f t="shared" si="0"/>
        <v>145534</v>
      </c>
    </row>
    <row r="269" spans="1:6">
      <c r="A269" s="7">
        <v>0.80440972222222218</v>
      </c>
      <c r="B269" s="4" t="s">
        <v>21</v>
      </c>
      <c r="C269" s="4" t="s">
        <v>8</v>
      </c>
      <c r="D269" s="12">
        <v>73545</v>
      </c>
      <c r="E269" s="12">
        <v>1</v>
      </c>
      <c r="F269" s="13">
        <f t="shared" si="0"/>
        <v>-73545</v>
      </c>
    </row>
    <row r="270" spans="1:6">
      <c r="A270" s="7">
        <v>0.80440972222222218</v>
      </c>
      <c r="B270" s="4" t="s">
        <v>21</v>
      </c>
      <c r="C270" s="4" t="s">
        <v>8</v>
      </c>
      <c r="D270" s="12">
        <v>73546</v>
      </c>
      <c r="E270" s="12">
        <v>1</v>
      </c>
      <c r="F270" s="13">
        <f t="shared" si="0"/>
        <v>-73546</v>
      </c>
    </row>
    <row r="271" spans="1:6">
      <c r="A271" s="7">
        <v>0.80440972222222218</v>
      </c>
      <c r="B271" s="4" t="s">
        <v>23</v>
      </c>
      <c r="C271" s="4" t="s">
        <v>7</v>
      </c>
      <c r="D271" s="12">
        <v>72760</v>
      </c>
      <c r="E271" s="12">
        <v>1</v>
      </c>
      <c r="F271" s="13">
        <f t="shared" si="0"/>
        <v>72760</v>
      </c>
    </row>
    <row r="272" spans="1:6">
      <c r="A272" s="7">
        <v>0.80440972222222218</v>
      </c>
      <c r="B272" s="4" t="s">
        <v>23</v>
      </c>
      <c r="C272" s="4" t="s">
        <v>7</v>
      </c>
      <c r="D272" s="12">
        <v>72760</v>
      </c>
      <c r="E272" s="12">
        <v>1</v>
      </c>
      <c r="F272" s="13">
        <f t="shared" si="0"/>
        <v>72760</v>
      </c>
    </row>
    <row r="273" spans="1:6">
      <c r="A273" s="7">
        <v>0.41524305555555557</v>
      </c>
      <c r="B273" s="4" t="s">
        <v>14</v>
      </c>
      <c r="C273" s="4" t="s">
        <v>8</v>
      </c>
      <c r="D273" s="12">
        <v>2.5430000000000001</v>
      </c>
      <c r="E273" s="12">
        <v>8</v>
      </c>
      <c r="F273" s="13">
        <f t="shared" si="0"/>
        <v>-20.344000000000001</v>
      </c>
    </row>
    <row r="274" spans="1:6">
      <c r="A274" s="7">
        <v>0.41309027777777779</v>
      </c>
      <c r="B274" s="4" t="s">
        <v>14</v>
      </c>
      <c r="C274" s="4" t="s">
        <v>8</v>
      </c>
      <c r="D274" s="12">
        <v>2.54</v>
      </c>
      <c r="E274" s="12">
        <v>5</v>
      </c>
      <c r="F274" s="13">
        <f t="shared" si="0"/>
        <v>-12.7</v>
      </c>
    </row>
    <row r="275" spans="1:6">
      <c r="A275" s="7">
        <v>0.4034490740740741</v>
      </c>
      <c r="B275" s="4" t="s">
        <v>14</v>
      </c>
      <c r="C275" s="4" t="s">
        <v>7</v>
      </c>
      <c r="D275" s="12">
        <v>2.5369999999999999</v>
      </c>
      <c r="E275" s="12">
        <v>13</v>
      </c>
      <c r="F275" s="13">
        <f t="shared" si="0"/>
        <v>32.981000000000002</v>
      </c>
    </row>
    <row r="276" spans="1:6">
      <c r="A276" s="7">
        <v>0.39958333333333335</v>
      </c>
      <c r="B276" s="4" t="s">
        <v>14</v>
      </c>
      <c r="C276" s="4" t="s">
        <v>7</v>
      </c>
      <c r="D276" s="12">
        <v>2.5299999999999998</v>
      </c>
      <c r="E276" s="12">
        <v>1</v>
      </c>
      <c r="F276" s="13">
        <f t="shared" si="0"/>
        <v>2.5299999999999998</v>
      </c>
    </row>
    <row r="277" spans="1:6">
      <c r="A277" s="7">
        <v>0.39958333333333335</v>
      </c>
      <c r="B277" s="4" t="s">
        <v>14</v>
      </c>
      <c r="C277" s="4" t="s">
        <v>7</v>
      </c>
      <c r="D277" s="12">
        <v>2.5299999999999998</v>
      </c>
      <c r="E277" s="12">
        <v>1</v>
      </c>
      <c r="F277" s="13">
        <f t="shared" si="0"/>
        <v>2.5299999999999998</v>
      </c>
    </row>
    <row r="278" spans="1:6">
      <c r="A278" s="7">
        <v>0.39958333333333335</v>
      </c>
      <c r="B278" s="4" t="s">
        <v>14</v>
      </c>
      <c r="C278" s="4" t="s">
        <v>7</v>
      </c>
      <c r="D278" s="12">
        <v>2.5299999999999998</v>
      </c>
      <c r="E278" s="12">
        <v>1</v>
      </c>
      <c r="F278" s="13">
        <f t="shared" si="0"/>
        <v>2.5299999999999998</v>
      </c>
    </row>
    <row r="279" spans="1:6">
      <c r="A279" s="7">
        <v>0.39958333333333335</v>
      </c>
      <c r="B279" s="4" t="s">
        <v>14</v>
      </c>
      <c r="C279" s="4" t="s">
        <v>7</v>
      </c>
      <c r="D279" s="12">
        <v>2.5299999999999998</v>
      </c>
      <c r="E279" s="12">
        <v>6</v>
      </c>
      <c r="F279" s="13">
        <f t="shared" si="0"/>
        <v>15.18</v>
      </c>
    </row>
    <row r="280" spans="1:6">
      <c r="A280" s="7">
        <v>0.39958333333333335</v>
      </c>
      <c r="B280" s="4" t="s">
        <v>14</v>
      </c>
      <c r="C280" s="4" t="s">
        <v>7</v>
      </c>
      <c r="D280" s="12">
        <v>2.5299999999999998</v>
      </c>
      <c r="E280" s="12">
        <v>1</v>
      </c>
      <c r="F280" s="13">
        <f t="shared" si="0"/>
        <v>2.5299999999999998</v>
      </c>
    </row>
    <row r="281" spans="1:6">
      <c r="A281" s="7">
        <v>0.39958333333333335</v>
      </c>
      <c r="B281" s="4" t="s">
        <v>14</v>
      </c>
      <c r="C281" s="4" t="s">
        <v>7</v>
      </c>
      <c r="D281" s="12">
        <v>2.5299999999999998</v>
      </c>
      <c r="E281" s="12">
        <v>1</v>
      </c>
      <c r="F281" s="13">
        <f t="shared" si="0"/>
        <v>2.5299999999999998</v>
      </c>
    </row>
    <row r="282" spans="1:6">
      <c r="A282" s="7">
        <v>0.39958333333333335</v>
      </c>
      <c r="B282" s="4" t="s">
        <v>14</v>
      </c>
      <c r="C282" s="4" t="s">
        <v>7</v>
      </c>
      <c r="D282" s="12">
        <v>2.5310000000000001</v>
      </c>
      <c r="E282" s="12">
        <v>1</v>
      </c>
      <c r="F282" s="13">
        <f t="shared" si="0"/>
        <v>2.5310000000000001</v>
      </c>
    </row>
    <row r="283" spans="1:6">
      <c r="A283" s="7">
        <v>0.39958333333333335</v>
      </c>
      <c r="B283" s="4" t="s">
        <v>14</v>
      </c>
      <c r="C283" s="4" t="s">
        <v>7</v>
      </c>
      <c r="D283" s="12">
        <v>2.5310000000000001</v>
      </c>
      <c r="E283" s="12">
        <v>1</v>
      </c>
      <c r="F283" s="13">
        <f t="shared" si="0"/>
        <v>2.5310000000000001</v>
      </c>
    </row>
    <row r="284" spans="1:6">
      <c r="A284" s="7">
        <v>0.39958333333333335</v>
      </c>
      <c r="B284" s="4" t="s">
        <v>14</v>
      </c>
      <c r="C284" s="4" t="s">
        <v>7</v>
      </c>
      <c r="D284" s="12">
        <v>2.5310000000000001</v>
      </c>
      <c r="E284" s="12">
        <v>1</v>
      </c>
      <c r="F284" s="13">
        <f t="shared" si="0"/>
        <v>2.5310000000000001</v>
      </c>
    </row>
    <row r="285" spans="1:6">
      <c r="A285" s="7">
        <v>0.39958333333333335</v>
      </c>
      <c r="B285" s="4" t="s">
        <v>14</v>
      </c>
      <c r="C285" s="4" t="s">
        <v>7</v>
      </c>
      <c r="D285" s="12">
        <v>2.532</v>
      </c>
      <c r="E285" s="12">
        <v>1</v>
      </c>
      <c r="F285" s="13">
        <f t="shared" si="0"/>
        <v>2.532</v>
      </c>
    </row>
    <row r="286" spans="1:6">
      <c r="A286" s="7">
        <v>0.39958333333333335</v>
      </c>
      <c r="B286" s="4" t="s">
        <v>14</v>
      </c>
      <c r="C286" s="4" t="s">
        <v>7</v>
      </c>
      <c r="D286" s="12">
        <v>2.532</v>
      </c>
      <c r="E286" s="12">
        <v>1</v>
      </c>
      <c r="F286" s="13">
        <f t="shared" si="0"/>
        <v>2.532</v>
      </c>
    </row>
    <row r="287" spans="1:6">
      <c r="A287" s="7">
        <v>0.39958333333333335</v>
      </c>
      <c r="B287" s="4" t="s">
        <v>14</v>
      </c>
      <c r="C287" s="4" t="s">
        <v>7</v>
      </c>
      <c r="D287" s="12">
        <v>2.5329999999999999</v>
      </c>
      <c r="E287" s="12">
        <v>1</v>
      </c>
      <c r="F287" s="13">
        <f t="shared" si="0"/>
        <v>2.5329999999999999</v>
      </c>
    </row>
    <row r="288" spans="1:6">
      <c r="A288" s="7">
        <v>0.39736111111111111</v>
      </c>
      <c r="B288" s="4" t="s">
        <v>14</v>
      </c>
      <c r="C288" s="4" t="s">
        <v>8</v>
      </c>
      <c r="D288" s="12">
        <v>2.5339999999999998</v>
      </c>
      <c r="E288" s="12">
        <v>17</v>
      </c>
      <c r="F288" s="13">
        <f t="shared" si="0"/>
        <v>-43.077999999999996</v>
      </c>
    </row>
    <row r="289" spans="1:6">
      <c r="A289" s="7">
        <v>0.39454861111111111</v>
      </c>
      <c r="B289" s="4" t="s">
        <v>14</v>
      </c>
      <c r="C289" s="4" t="s">
        <v>8</v>
      </c>
      <c r="D289" s="12">
        <v>2.5430000000000001</v>
      </c>
      <c r="E289" s="12">
        <v>3</v>
      </c>
      <c r="F289" s="13">
        <f t="shared" si="0"/>
        <v>-7.6290000000000004</v>
      </c>
    </row>
    <row r="290" spans="1:6">
      <c r="A290" s="7">
        <v>0.3790277777777778</v>
      </c>
      <c r="B290" s="4" t="s">
        <v>14</v>
      </c>
      <c r="C290" s="4" t="s">
        <v>8</v>
      </c>
      <c r="D290" s="12">
        <v>2.544</v>
      </c>
      <c r="E290" s="12">
        <v>2</v>
      </c>
      <c r="F290" s="13">
        <f t="shared" si="0"/>
        <v>-5.0880000000000001</v>
      </c>
    </row>
    <row r="291" spans="1:6">
      <c r="A291" s="7">
        <v>0.37142361111111111</v>
      </c>
      <c r="B291" s="4" t="s">
        <v>14</v>
      </c>
      <c r="C291" s="4" t="s">
        <v>8</v>
      </c>
      <c r="D291" s="12">
        <v>2.5459999999999998</v>
      </c>
      <c r="E291" s="12">
        <v>10</v>
      </c>
      <c r="F291" s="13">
        <f t="shared" si="0"/>
        <v>-25.459999999999997</v>
      </c>
    </row>
    <row r="292" spans="1:6">
      <c r="A292" s="7">
        <v>0.37142361111111111</v>
      </c>
      <c r="B292" s="4" t="s">
        <v>14</v>
      </c>
      <c r="C292" s="4" t="s">
        <v>8</v>
      </c>
      <c r="D292" s="12">
        <v>2.5459999999999998</v>
      </c>
      <c r="E292" s="12">
        <v>1</v>
      </c>
      <c r="F292" s="13">
        <f t="shared" si="0"/>
        <v>-2.5459999999999998</v>
      </c>
    </row>
    <row r="293" spans="1:6">
      <c r="A293" s="7">
        <v>0.37142361111111111</v>
      </c>
      <c r="B293" s="4" t="s">
        <v>14</v>
      </c>
      <c r="C293" s="4" t="s">
        <v>8</v>
      </c>
      <c r="D293" s="12">
        <v>2.5459999999999998</v>
      </c>
      <c r="E293" s="12">
        <v>1</v>
      </c>
      <c r="F293" s="13">
        <f t="shared" si="0"/>
        <v>-2.5459999999999998</v>
      </c>
    </row>
    <row r="294" spans="1:6">
      <c r="A294" s="7">
        <v>0.37002314814814813</v>
      </c>
      <c r="B294" s="4" t="s">
        <v>19</v>
      </c>
      <c r="C294" s="4" t="s">
        <v>8</v>
      </c>
      <c r="D294" s="12">
        <v>68.78</v>
      </c>
      <c r="E294" s="12">
        <v>8</v>
      </c>
      <c r="F294" s="13">
        <f t="shared" si="0"/>
        <v>-550.24</v>
      </c>
    </row>
    <row r="295" spans="1:6">
      <c r="A295" s="7">
        <v>0.37002314814814813</v>
      </c>
      <c r="B295" s="4" t="s">
        <v>19</v>
      </c>
      <c r="C295" s="4" t="s">
        <v>8</v>
      </c>
      <c r="D295" s="12">
        <v>68.78</v>
      </c>
      <c r="E295" s="12">
        <v>1</v>
      </c>
      <c r="F295" s="13">
        <f t="shared" si="0"/>
        <v>-68.78</v>
      </c>
    </row>
    <row r="296" spans="1:6">
      <c r="A296" s="7">
        <v>0.37002314814814813</v>
      </c>
      <c r="B296" s="4" t="s">
        <v>19</v>
      </c>
      <c r="C296" s="4" t="s">
        <v>8</v>
      </c>
      <c r="D296" s="12">
        <v>68.78</v>
      </c>
      <c r="E296" s="12">
        <v>72</v>
      </c>
      <c r="F296" s="13">
        <f t="shared" si="0"/>
        <v>-4952.16</v>
      </c>
    </row>
    <row r="297" spans="1:6">
      <c r="A297" s="7">
        <v>0.36664351851851851</v>
      </c>
      <c r="B297" s="4" t="s">
        <v>19</v>
      </c>
      <c r="C297" s="4" t="s">
        <v>7</v>
      </c>
      <c r="D297" s="12">
        <v>68.77</v>
      </c>
      <c r="E297" s="12">
        <v>181</v>
      </c>
      <c r="F297" s="13">
        <f t="shared" si="0"/>
        <v>12447.369999999999</v>
      </c>
    </row>
    <row r="298" spans="1:6">
      <c r="A298" s="7">
        <v>0.36664351851851851</v>
      </c>
      <c r="B298" s="4" t="s">
        <v>17</v>
      </c>
      <c r="C298" s="4" t="s">
        <v>7</v>
      </c>
      <c r="D298" s="12">
        <v>68.33</v>
      </c>
      <c r="E298" s="12">
        <v>200</v>
      </c>
      <c r="F298" s="13">
        <f t="shared" si="0"/>
        <v>13666</v>
      </c>
    </row>
    <row r="299" spans="1:6">
      <c r="A299" s="7">
        <v>0.35891203703703706</v>
      </c>
      <c r="B299" s="4" t="s">
        <v>14</v>
      </c>
      <c r="C299" s="4" t="s">
        <v>8</v>
      </c>
      <c r="D299" s="12">
        <v>2.5409999999999999</v>
      </c>
      <c r="E299" s="12">
        <v>3</v>
      </c>
      <c r="F299" s="13">
        <f t="shared" si="0"/>
        <v>-7.6229999999999993</v>
      </c>
    </row>
    <row r="300" spans="1:6">
      <c r="A300" s="7">
        <v>0.35881944444444447</v>
      </c>
      <c r="B300" s="4" t="s">
        <v>14</v>
      </c>
      <c r="C300" s="4" t="s">
        <v>7</v>
      </c>
      <c r="D300" s="12">
        <v>2.5470000000000002</v>
      </c>
      <c r="E300" s="12">
        <v>6</v>
      </c>
      <c r="F300" s="13">
        <f t="shared" si="0"/>
        <v>15.282</v>
      </c>
    </row>
    <row r="301" spans="1:6">
      <c r="A301" s="7">
        <v>0.3578587962962963</v>
      </c>
      <c r="B301" s="4" t="s">
        <v>14</v>
      </c>
      <c r="C301" s="4" t="s">
        <v>7</v>
      </c>
      <c r="D301" s="12">
        <v>2.5489999999999999</v>
      </c>
      <c r="E301" s="12">
        <v>10</v>
      </c>
      <c r="F301" s="13">
        <f t="shared" si="0"/>
        <v>25.49</v>
      </c>
    </row>
    <row r="302" spans="1:6">
      <c r="A302" s="7">
        <v>0.35751157407407408</v>
      </c>
      <c r="B302" s="4" t="s">
        <v>14</v>
      </c>
      <c r="C302" s="4" t="s">
        <v>7</v>
      </c>
      <c r="D302" s="12">
        <v>2.5459999999999998</v>
      </c>
      <c r="E302" s="12">
        <v>1</v>
      </c>
      <c r="F302" s="13">
        <f t="shared" si="0"/>
        <v>2.5459999999999998</v>
      </c>
    </row>
    <row r="303" spans="1:6">
      <c r="A303" s="7">
        <v>0.35487268518518517</v>
      </c>
      <c r="B303" s="4" t="s">
        <v>14</v>
      </c>
      <c r="C303" s="4" t="s">
        <v>8</v>
      </c>
      <c r="D303" s="12">
        <v>2.5419999999999998</v>
      </c>
      <c r="E303" s="12">
        <v>33</v>
      </c>
      <c r="F303" s="13">
        <f t="shared" si="0"/>
        <v>-83.885999999999996</v>
      </c>
    </row>
    <row r="304" spans="1:6">
      <c r="A304" s="7">
        <v>0.35487268518518517</v>
      </c>
      <c r="B304" s="4" t="s">
        <v>14</v>
      </c>
      <c r="C304" s="4" t="s">
        <v>8</v>
      </c>
      <c r="D304" s="12">
        <v>2.544</v>
      </c>
      <c r="E304" s="12">
        <v>3</v>
      </c>
      <c r="F304" s="13">
        <f t="shared" si="0"/>
        <v>-7.6319999999999997</v>
      </c>
    </row>
    <row r="305" spans="1:6">
      <c r="A305" s="7">
        <v>0.35478009259259258</v>
      </c>
      <c r="B305" s="4" t="s">
        <v>14</v>
      </c>
      <c r="C305" s="4" t="s">
        <v>8</v>
      </c>
      <c r="D305" s="12">
        <v>2.5449999999999999</v>
      </c>
      <c r="E305" s="12">
        <v>2</v>
      </c>
      <c r="F305" s="13">
        <f t="shared" si="0"/>
        <v>-5.09</v>
      </c>
    </row>
    <row r="306" spans="1:6">
      <c r="A306" s="7">
        <v>0.35478009259259258</v>
      </c>
      <c r="B306" s="4" t="s">
        <v>14</v>
      </c>
      <c r="C306" s="4" t="s">
        <v>8</v>
      </c>
      <c r="D306" s="12">
        <v>2.5449999999999999</v>
      </c>
      <c r="E306" s="12">
        <v>1</v>
      </c>
      <c r="F306" s="13">
        <f t="shared" si="0"/>
        <v>-2.5449999999999999</v>
      </c>
    </row>
    <row r="307" spans="1:6">
      <c r="A307" s="7">
        <v>0.35475694444444444</v>
      </c>
      <c r="B307" s="4" t="s">
        <v>14</v>
      </c>
      <c r="C307" s="4" t="s">
        <v>8</v>
      </c>
      <c r="D307" s="12">
        <v>2.5419999999999998</v>
      </c>
      <c r="E307" s="12">
        <v>33</v>
      </c>
      <c r="F307" s="13">
        <f t="shared" si="0"/>
        <v>-83.885999999999996</v>
      </c>
    </row>
    <row r="308" spans="1:6">
      <c r="A308" s="7">
        <v>0.35364583333333333</v>
      </c>
      <c r="B308" s="4" t="s">
        <v>14</v>
      </c>
      <c r="C308" s="4" t="s">
        <v>8</v>
      </c>
      <c r="D308" s="12">
        <v>2.5430000000000001</v>
      </c>
      <c r="E308" s="12">
        <v>4</v>
      </c>
      <c r="F308" s="13">
        <f t="shared" si="0"/>
        <v>-10.172000000000001</v>
      </c>
    </row>
    <row r="309" spans="1:6">
      <c r="A309" s="7">
        <v>0.35364583333333333</v>
      </c>
      <c r="B309" s="4" t="s">
        <v>14</v>
      </c>
      <c r="C309" s="4" t="s">
        <v>8</v>
      </c>
      <c r="D309" s="12">
        <v>2.5430000000000001</v>
      </c>
      <c r="E309" s="12">
        <v>4</v>
      </c>
      <c r="F309" s="13">
        <f t="shared" si="0"/>
        <v>-10.172000000000001</v>
      </c>
    </row>
    <row r="310" spans="1:6">
      <c r="A310" s="7">
        <v>0.35364583333333333</v>
      </c>
      <c r="B310" s="4" t="s">
        <v>14</v>
      </c>
      <c r="C310" s="4" t="s">
        <v>8</v>
      </c>
      <c r="D310" s="12">
        <v>2.5430000000000001</v>
      </c>
      <c r="E310" s="12">
        <v>4</v>
      </c>
      <c r="F310" s="13">
        <f t="shared" si="0"/>
        <v>-10.172000000000001</v>
      </c>
    </row>
    <row r="311" spans="1:6">
      <c r="A311" s="7">
        <v>0.35363425925925923</v>
      </c>
      <c r="B311" s="4" t="s">
        <v>14</v>
      </c>
      <c r="C311" s="4" t="s">
        <v>8</v>
      </c>
      <c r="D311" s="12">
        <v>2.5430000000000001</v>
      </c>
      <c r="E311" s="12">
        <v>4</v>
      </c>
      <c r="F311" s="13">
        <f t="shared" si="0"/>
        <v>-10.172000000000001</v>
      </c>
    </row>
    <row r="312" spans="1:6">
      <c r="A312" s="7">
        <v>0.35363425925925923</v>
      </c>
      <c r="B312" s="4" t="s">
        <v>14</v>
      </c>
      <c r="C312" s="4" t="s">
        <v>8</v>
      </c>
      <c r="D312" s="12">
        <v>2.5430000000000001</v>
      </c>
      <c r="E312" s="12">
        <v>4</v>
      </c>
      <c r="F312" s="13">
        <f t="shared" si="0"/>
        <v>-10.172000000000001</v>
      </c>
    </row>
    <row r="313" spans="1:6">
      <c r="A313" s="7">
        <v>0.35359953703703706</v>
      </c>
      <c r="B313" s="4" t="s">
        <v>14</v>
      </c>
      <c r="C313" s="4" t="s">
        <v>8</v>
      </c>
      <c r="D313" s="12">
        <v>2.5430000000000001</v>
      </c>
      <c r="E313" s="12">
        <v>4</v>
      </c>
      <c r="F313" s="13">
        <f t="shared" si="0"/>
        <v>-10.172000000000001</v>
      </c>
    </row>
    <row r="314" spans="1:6">
      <c r="A314" s="7">
        <v>0.35359953703703706</v>
      </c>
      <c r="B314" s="4" t="s">
        <v>14</v>
      </c>
      <c r="C314" s="4" t="s">
        <v>8</v>
      </c>
      <c r="D314" s="12">
        <v>2.5430000000000001</v>
      </c>
      <c r="E314" s="12">
        <v>4</v>
      </c>
      <c r="F314" s="13">
        <f t="shared" si="0"/>
        <v>-10.172000000000001</v>
      </c>
    </row>
    <row r="315" spans="1:6">
      <c r="A315" s="7">
        <v>0.35359953703703706</v>
      </c>
      <c r="B315" s="4" t="s">
        <v>14</v>
      </c>
      <c r="C315" s="4" t="s">
        <v>8</v>
      </c>
      <c r="D315" s="12">
        <v>2.5430000000000001</v>
      </c>
      <c r="E315" s="12">
        <v>4</v>
      </c>
      <c r="F315" s="13">
        <f t="shared" si="0"/>
        <v>-10.172000000000001</v>
      </c>
    </row>
    <row r="316" spans="1:6">
      <c r="A316" s="7">
        <v>0.35359953703703706</v>
      </c>
      <c r="B316" s="4" t="s">
        <v>14</v>
      </c>
      <c r="C316" s="4" t="s">
        <v>8</v>
      </c>
      <c r="D316" s="12">
        <v>2.5430000000000001</v>
      </c>
      <c r="E316" s="12">
        <v>4</v>
      </c>
      <c r="F316" s="13">
        <f t="shared" si="0"/>
        <v>-10.172000000000001</v>
      </c>
    </row>
    <row r="317" spans="1:6">
      <c r="A317" s="7">
        <v>0.35358796296296297</v>
      </c>
      <c r="B317" s="4" t="s">
        <v>14</v>
      </c>
      <c r="C317" s="4" t="s">
        <v>8</v>
      </c>
      <c r="D317" s="12">
        <v>2.5430000000000001</v>
      </c>
      <c r="E317" s="12">
        <v>4</v>
      </c>
      <c r="F317" s="13">
        <f t="shared" si="0"/>
        <v>-10.172000000000001</v>
      </c>
    </row>
    <row r="318" spans="1:6">
      <c r="A318" s="7">
        <v>0.35358796296296297</v>
      </c>
      <c r="B318" s="4" t="s">
        <v>14</v>
      </c>
      <c r="C318" s="4" t="s">
        <v>8</v>
      </c>
      <c r="D318" s="12">
        <v>2.5430000000000001</v>
      </c>
      <c r="E318" s="12">
        <v>4</v>
      </c>
      <c r="F318" s="13">
        <f t="shared" si="0"/>
        <v>-10.172000000000001</v>
      </c>
    </row>
    <row r="319" spans="1:6">
      <c r="A319" s="7">
        <v>0.35358796296296297</v>
      </c>
      <c r="B319" s="4" t="s">
        <v>14</v>
      </c>
      <c r="C319" s="4" t="s">
        <v>8</v>
      </c>
      <c r="D319" s="12">
        <v>2.5430000000000001</v>
      </c>
      <c r="E319" s="12">
        <v>4</v>
      </c>
      <c r="F319" s="13">
        <f t="shared" si="0"/>
        <v>-10.172000000000001</v>
      </c>
    </row>
    <row r="320" spans="1:6">
      <c r="A320" s="7">
        <v>0.35357638888888887</v>
      </c>
      <c r="B320" s="4" t="s">
        <v>14</v>
      </c>
      <c r="C320" s="4" t="s">
        <v>8</v>
      </c>
      <c r="D320" s="12">
        <v>2.5430000000000001</v>
      </c>
      <c r="E320" s="12">
        <v>4</v>
      </c>
      <c r="F320" s="13">
        <f t="shared" si="0"/>
        <v>-10.172000000000001</v>
      </c>
    </row>
    <row r="321" spans="1:6">
      <c r="A321" s="7">
        <v>0.35357638888888887</v>
      </c>
      <c r="B321" s="4" t="s">
        <v>14</v>
      </c>
      <c r="C321" s="4" t="s">
        <v>8</v>
      </c>
      <c r="D321" s="12">
        <v>2.5430000000000001</v>
      </c>
      <c r="E321" s="12">
        <v>4</v>
      </c>
      <c r="F321" s="13">
        <f t="shared" si="0"/>
        <v>-10.172000000000001</v>
      </c>
    </row>
    <row r="322" spans="1:6">
      <c r="A322" s="7">
        <v>0.35357638888888887</v>
      </c>
      <c r="B322" s="4" t="s">
        <v>14</v>
      </c>
      <c r="C322" s="4" t="s">
        <v>8</v>
      </c>
      <c r="D322" s="12">
        <v>2.5430000000000001</v>
      </c>
      <c r="E322" s="12">
        <v>4</v>
      </c>
      <c r="F322" s="13">
        <f t="shared" si="0"/>
        <v>-10.172000000000001</v>
      </c>
    </row>
    <row r="323" spans="1:6">
      <c r="A323" s="7">
        <v>0.35357638888888887</v>
      </c>
      <c r="B323" s="4" t="s">
        <v>14</v>
      </c>
      <c r="C323" s="4" t="s">
        <v>8</v>
      </c>
      <c r="D323" s="12">
        <v>2.5430000000000001</v>
      </c>
      <c r="E323" s="12">
        <v>2</v>
      </c>
      <c r="F323" s="13">
        <f t="shared" si="0"/>
        <v>-5.0860000000000003</v>
      </c>
    </row>
    <row r="324" spans="1:6">
      <c r="A324" s="7">
        <v>0.35356481481481483</v>
      </c>
      <c r="B324" s="4" t="s">
        <v>14</v>
      </c>
      <c r="C324" s="4" t="s">
        <v>8</v>
      </c>
      <c r="D324" s="12">
        <v>2.544</v>
      </c>
      <c r="E324" s="12">
        <v>3</v>
      </c>
      <c r="F324" s="13">
        <f t="shared" si="0"/>
        <v>-7.6319999999999997</v>
      </c>
    </row>
    <row r="325" spans="1:6">
      <c r="A325" s="7">
        <v>0.35356481481481483</v>
      </c>
      <c r="B325" s="4" t="s">
        <v>14</v>
      </c>
      <c r="C325" s="4" t="s">
        <v>8</v>
      </c>
      <c r="D325" s="12">
        <v>2.5449999999999999</v>
      </c>
      <c r="E325" s="12">
        <v>1</v>
      </c>
      <c r="F325" s="13">
        <f t="shared" si="0"/>
        <v>-2.5449999999999999</v>
      </c>
    </row>
    <row r="326" spans="1:6">
      <c r="A326" s="7">
        <v>0.35356481481481483</v>
      </c>
      <c r="B326" s="4" t="s">
        <v>14</v>
      </c>
      <c r="C326" s="4" t="s">
        <v>8</v>
      </c>
      <c r="D326" s="12">
        <v>2.5449999999999999</v>
      </c>
      <c r="E326" s="12">
        <v>1</v>
      </c>
      <c r="F326" s="13">
        <f t="shared" si="0"/>
        <v>-2.5449999999999999</v>
      </c>
    </row>
    <row r="327" spans="1:6">
      <c r="A327" s="7">
        <v>0.35356481481481483</v>
      </c>
      <c r="B327" s="4" t="s">
        <v>14</v>
      </c>
      <c r="C327" s="4" t="s">
        <v>8</v>
      </c>
      <c r="D327" s="12">
        <v>2.5449999999999999</v>
      </c>
      <c r="E327" s="12">
        <v>1</v>
      </c>
      <c r="F327" s="13">
        <f t="shared" si="0"/>
        <v>-2.5449999999999999</v>
      </c>
    </row>
    <row r="328" spans="1:6">
      <c r="A328" s="7">
        <v>0.35356481481481483</v>
      </c>
      <c r="B328" s="4" t="s">
        <v>14</v>
      </c>
      <c r="C328" s="4" t="s">
        <v>8</v>
      </c>
      <c r="D328" s="12">
        <v>2.5459999999999998</v>
      </c>
      <c r="E328" s="12">
        <v>1</v>
      </c>
      <c r="F328" s="13">
        <f t="shared" si="0"/>
        <v>-2.5459999999999998</v>
      </c>
    </row>
    <row r="329" spans="1:6">
      <c r="A329" s="7">
        <v>0.35355324074074074</v>
      </c>
      <c r="B329" s="4" t="s">
        <v>14</v>
      </c>
      <c r="C329" s="4" t="s">
        <v>8</v>
      </c>
      <c r="D329" s="12">
        <v>2.5459999999999998</v>
      </c>
      <c r="E329" s="12">
        <v>2</v>
      </c>
      <c r="F329" s="13">
        <f t="shared" si="0"/>
        <v>-5.0919999999999996</v>
      </c>
    </row>
    <row r="330" spans="1:6">
      <c r="A330" s="7">
        <v>0.35033564814814816</v>
      </c>
      <c r="B330" s="4" t="s">
        <v>14</v>
      </c>
      <c r="C330" s="4" t="s">
        <v>8</v>
      </c>
      <c r="D330" s="12">
        <v>2.5499999999999998</v>
      </c>
      <c r="E330" s="12">
        <v>1</v>
      </c>
      <c r="F330" s="13">
        <f t="shared" si="0"/>
        <v>-2.5499999999999998</v>
      </c>
    </row>
    <row r="331" spans="1:6">
      <c r="A331" s="7">
        <v>0.35033564814814816</v>
      </c>
      <c r="B331" s="4" t="s">
        <v>14</v>
      </c>
      <c r="C331" s="4" t="s">
        <v>8</v>
      </c>
      <c r="D331" s="12">
        <v>2.5499999999999998</v>
      </c>
      <c r="E331" s="12">
        <v>1</v>
      </c>
      <c r="F331" s="13">
        <f t="shared" si="0"/>
        <v>-2.5499999999999998</v>
      </c>
    </row>
    <row r="332" spans="1:6">
      <c r="A332" s="7">
        <v>0.35033564814814816</v>
      </c>
      <c r="B332" s="4" t="s">
        <v>14</v>
      </c>
      <c r="C332" s="4" t="s">
        <v>8</v>
      </c>
      <c r="D332" s="12">
        <v>2.5489999999999999</v>
      </c>
      <c r="E332" s="12">
        <v>1</v>
      </c>
      <c r="F332" s="13">
        <f t="shared" si="0"/>
        <v>-2.5489999999999999</v>
      </c>
    </row>
    <row r="333" spans="1:6">
      <c r="A333" s="7">
        <v>0.35033564814814816</v>
      </c>
      <c r="B333" s="4" t="s">
        <v>14</v>
      </c>
      <c r="C333" s="4" t="s">
        <v>8</v>
      </c>
      <c r="D333" s="12">
        <v>2.5489999999999999</v>
      </c>
      <c r="E333" s="12">
        <v>1</v>
      </c>
      <c r="F333" s="13">
        <f t="shared" si="0"/>
        <v>-2.5489999999999999</v>
      </c>
    </row>
    <row r="334" spans="1:6">
      <c r="A334" s="7">
        <v>0.35033564814814816</v>
      </c>
      <c r="B334" s="4" t="s">
        <v>14</v>
      </c>
      <c r="C334" s="4" t="s">
        <v>8</v>
      </c>
      <c r="D334" s="12">
        <v>2.548</v>
      </c>
      <c r="E334" s="12">
        <v>1</v>
      </c>
      <c r="F334" s="13">
        <f t="shared" si="0"/>
        <v>-2.548</v>
      </c>
    </row>
    <row r="335" spans="1:6">
      <c r="A335" s="7">
        <v>0.35033564814814816</v>
      </c>
      <c r="B335" s="4" t="s">
        <v>14</v>
      </c>
      <c r="C335" s="4" t="s">
        <v>8</v>
      </c>
      <c r="D335" s="12">
        <v>2.5470000000000002</v>
      </c>
      <c r="E335" s="12">
        <v>2</v>
      </c>
      <c r="F335" s="13">
        <f t="shared" si="0"/>
        <v>-5.0940000000000003</v>
      </c>
    </row>
    <row r="336" spans="1:6">
      <c r="A336" s="7">
        <v>0.34643518518518518</v>
      </c>
      <c r="B336" s="4" t="s">
        <v>14</v>
      </c>
      <c r="C336" s="4" t="s">
        <v>8</v>
      </c>
      <c r="D336" s="12">
        <v>2.5449999999999999</v>
      </c>
      <c r="E336" s="12">
        <v>1</v>
      </c>
      <c r="F336" s="13">
        <f t="shared" si="0"/>
        <v>-2.5449999999999999</v>
      </c>
    </row>
    <row r="337" spans="1:6">
      <c r="A337" s="7">
        <v>0.34533564814814816</v>
      </c>
      <c r="B337" s="4" t="s">
        <v>14</v>
      </c>
      <c r="C337" s="4" t="s">
        <v>8</v>
      </c>
      <c r="D337" s="12">
        <v>2.5449999999999999</v>
      </c>
      <c r="E337" s="12">
        <v>1</v>
      </c>
      <c r="F337" s="13">
        <f t="shared" si="0"/>
        <v>-2.5449999999999999</v>
      </c>
    </row>
    <row r="338" spans="1:6">
      <c r="A338" s="7">
        <v>0.34491898148148148</v>
      </c>
      <c r="B338" s="4" t="s">
        <v>14</v>
      </c>
      <c r="C338" s="4" t="s">
        <v>8</v>
      </c>
      <c r="D338" s="12">
        <v>2.5449999999999999</v>
      </c>
      <c r="E338" s="12">
        <v>1</v>
      </c>
      <c r="F338" s="13">
        <f t="shared" si="0"/>
        <v>-2.5449999999999999</v>
      </c>
    </row>
    <row r="339" spans="1:6">
      <c r="A339" s="7">
        <v>0.34457175925925926</v>
      </c>
      <c r="B339" s="4" t="s">
        <v>14</v>
      </c>
      <c r="C339" s="4" t="s">
        <v>8</v>
      </c>
      <c r="D339" s="12">
        <v>2.5470000000000002</v>
      </c>
      <c r="E339" s="12">
        <v>3</v>
      </c>
      <c r="F339" s="13">
        <f t="shared" si="0"/>
        <v>-7.641</v>
      </c>
    </row>
    <row r="340" spans="1:6">
      <c r="A340" s="7">
        <v>0.33892361111111113</v>
      </c>
      <c r="B340" s="4" t="s">
        <v>14</v>
      </c>
      <c r="C340" s="4" t="s">
        <v>8</v>
      </c>
      <c r="D340" s="12">
        <v>2.5499999999999998</v>
      </c>
      <c r="E340" s="12">
        <v>2</v>
      </c>
      <c r="F340" s="13">
        <f t="shared" si="0"/>
        <v>-5.0999999999999996</v>
      </c>
    </row>
    <row r="341" spans="1:6">
      <c r="A341" s="7">
        <v>0.33892361111111113</v>
      </c>
      <c r="B341" s="4" t="s">
        <v>14</v>
      </c>
      <c r="C341" s="4" t="s">
        <v>8</v>
      </c>
      <c r="D341" s="12">
        <v>2.5499999999999998</v>
      </c>
      <c r="E341" s="12">
        <v>2</v>
      </c>
      <c r="F341" s="13">
        <f t="shared" si="0"/>
        <v>-5.0999999999999996</v>
      </c>
    </row>
    <row r="342" spans="1:6">
      <c r="A342" s="7">
        <v>0.33291666666666669</v>
      </c>
      <c r="B342" s="4" t="s">
        <v>14</v>
      </c>
      <c r="C342" s="4" t="s">
        <v>8</v>
      </c>
      <c r="D342" s="12">
        <v>2.5499999999999998</v>
      </c>
      <c r="E342" s="12">
        <v>3</v>
      </c>
      <c r="F342" s="13">
        <f t="shared" si="0"/>
        <v>-7.6499999999999995</v>
      </c>
    </row>
    <row r="343" spans="1:6">
      <c r="A343" s="7">
        <v>0.3278935185185185</v>
      </c>
      <c r="B343" s="4" t="s">
        <v>14</v>
      </c>
      <c r="C343" s="4" t="s">
        <v>7</v>
      </c>
      <c r="D343" s="12">
        <v>2.5539999999999998</v>
      </c>
      <c r="E343" s="12">
        <v>66</v>
      </c>
      <c r="F343" s="13">
        <f t="shared" si="0"/>
        <v>168.56399999999999</v>
      </c>
    </row>
    <row r="344" spans="1:6">
      <c r="A344" s="7">
        <v>0.32164351851851852</v>
      </c>
      <c r="B344" s="4" t="s">
        <v>21</v>
      </c>
      <c r="C344" s="4" t="s">
        <v>8</v>
      </c>
      <c r="D344" s="12">
        <v>73789</v>
      </c>
      <c r="E344" s="12">
        <v>3</v>
      </c>
      <c r="F344" s="13">
        <f t="shared" si="0"/>
        <v>-221367</v>
      </c>
    </row>
    <row r="345" spans="1:6">
      <c r="A345" s="7">
        <v>0.32164351851851852</v>
      </c>
      <c r="B345" s="4" t="s">
        <v>23</v>
      </c>
      <c r="C345" s="4" t="s">
        <v>7</v>
      </c>
      <c r="D345" s="12">
        <v>73007</v>
      </c>
      <c r="E345" s="12">
        <v>3</v>
      </c>
      <c r="F345" s="13">
        <f t="shared" si="0"/>
        <v>219021</v>
      </c>
    </row>
    <row r="346" spans="1:6">
      <c r="A346" s="7">
        <v>0.30275462962962962</v>
      </c>
      <c r="B346" s="4" t="s">
        <v>18</v>
      </c>
      <c r="C346" s="4" t="s">
        <v>8</v>
      </c>
      <c r="D346" s="12">
        <v>1735.8</v>
      </c>
      <c r="E346" s="12">
        <v>3</v>
      </c>
      <c r="F346" s="13">
        <f t="shared" si="0"/>
        <v>-5207.3999999999996</v>
      </c>
    </row>
    <row r="347" spans="1:6">
      <c r="A347" s="7">
        <v>0.3027199074074074</v>
      </c>
      <c r="B347" s="4" t="s">
        <v>18</v>
      </c>
      <c r="C347" s="4" t="s">
        <v>8</v>
      </c>
      <c r="D347" s="12">
        <v>1735.8</v>
      </c>
      <c r="E347" s="12">
        <v>1</v>
      </c>
      <c r="F347" s="13">
        <f t="shared" si="0"/>
        <v>-1735.8</v>
      </c>
    </row>
    <row r="348" spans="1:6">
      <c r="A348" s="7">
        <v>0.30192129629629627</v>
      </c>
      <c r="B348" s="4" t="s">
        <v>18</v>
      </c>
      <c r="C348" s="4" t="s">
        <v>8</v>
      </c>
      <c r="D348" s="12">
        <v>1735.8</v>
      </c>
      <c r="E348" s="12">
        <v>7</v>
      </c>
      <c r="F348" s="13">
        <f t="shared" si="0"/>
        <v>-12150.6</v>
      </c>
    </row>
    <row r="349" spans="1:6">
      <c r="A349" s="7">
        <v>0.301875</v>
      </c>
      <c r="B349" s="4" t="s">
        <v>18</v>
      </c>
      <c r="C349" s="4" t="s">
        <v>8</v>
      </c>
      <c r="D349" s="12">
        <v>1735.8</v>
      </c>
      <c r="E349" s="12">
        <v>2</v>
      </c>
      <c r="F349" s="13">
        <f t="shared" si="0"/>
        <v>-3471.6</v>
      </c>
    </row>
    <row r="350" spans="1:6">
      <c r="A350" s="7">
        <v>0.30170138888888887</v>
      </c>
      <c r="B350" s="4" t="s">
        <v>18</v>
      </c>
      <c r="C350" s="4" t="s">
        <v>8</v>
      </c>
      <c r="D350" s="12">
        <v>1736</v>
      </c>
      <c r="E350" s="12">
        <v>10</v>
      </c>
      <c r="F350" s="13">
        <f t="shared" si="0"/>
        <v>-17360</v>
      </c>
    </row>
    <row r="351" spans="1:6">
      <c r="A351" s="7">
        <v>0.30164351851851851</v>
      </c>
      <c r="B351" s="4" t="s">
        <v>18</v>
      </c>
      <c r="C351" s="4" t="s">
        <v>8</v>
      </c>
      <c r="D351" s="12">
        <v>1736</v>
      </c>
      <c r="E351" s="12">
        <v>3</v>
      </c>
      <c r="F351" s="13">
        <f t="shared" si="0"/>
        <v>-5208</v>
      </c>
    </row>
    <row r="352" spans="1:6">
      <c r="A352" s="7">
        <v>0.30151620370370369</v>
      </c>
      <c r="B352" s="4" t="s">
        <v>18</v>
      </c>
      <c r="C352" s="4" t="s">
        <v>8</v>
      </c>
      <c r="D352" s="12">
        <v>1736</v>
      </c>
      <c r="E352" s="12">
        <v>1</v>
      </c>
      <c r="F352" s="13">
        <f t="shared" si="0"/>
        <v>-1736</v>
      </c>
    </row>
    <row r="353" spans="1:6">
      <c r="A353" s="7">
        <v>0.30150462962962965</v>
      </c>
      <c r="B353" s="4" t="s">
        <v>18</v>
      </c>
      <c r="C353" s="4" t="s">
        <v>8</v>
      </c>
      <c r="D353" s="12">
        <v>1736</v>
      </c>
      <c r="E353" s="12">
        <v>1</v>
      </c>
      <c r="F353" s="13">
        <f t="shared" si="0"/>
        <v>-1736</v>
      </c>
    </row>
    <row r="354" spans="1:6">
      <c r="A354" s="7">
        <v>0.30148148148148146</v>
      </c>
      <c r="B354" s="4" t="s">
        <v>18</v>
      </c>
      <c r="C354" s="4" t="s">
        <v>8</v>
      </c>
      <c r="D354" s="12">
        <v>1736</v>
      </c>
      <c r="E354" s="12">
        <v>7</v>
      </c>
      <c r="F354" s="13">
        <f t="shared" si="0"/>
        <v>-12152</v>
      </c>
    </row>
    <row r="355" spans="1:6">
      <c r="A355" s="7">
        <v>0.30148148148148146</v>
      </c>
      <c r="B355" s="4" t="s">
        <v>18</v>
      </c>
      <c r="C355" s="4" t="s">
        <v>8</v>
      </c>
      <c r="D355" s="12">
        <v>1736</v>
      </c>
      <c r="E355" s="12">
        <v>1</v>
      </c>
      <c r="F355" s="13">
        <f t="shared" si="0"/>
        <v>-1736</v>
      </c>
    </row>
    <row r="356" spans="1:6">
      <c r="A356" s="7">
        <v>0.30148148148148146</v>
      </c>
      <c r="B356" s="4" t="s">
        <v>18</v>
      </c>
      <c r="C356" s="4" t="s">
        <v>8</v>
      </c>
      <c r="D356" s="12">
        <v>1736</v>
      </c>
      <c r="E356" s="12">
        <v>2</v>
      </c>
      <c r="F356" s="13">
        <f t="shared" si="0"/>
        <v>-3472</v>
      </c>
    </row>
    <row r="357" spans="1:6">
      <c r="A357" s="7">
        <v>0.30148148148148146</v>
      </c>
      <c r="B357" s="4" t="s">
        <v>18</v>
      </c>
      <c r="C357" s="4" t="s">
        <v>8</v>
      </c>
      <c r="D357" s="12">
        <v>1736</v>
      </c>
      <c r="E357" s="12">
        <v>7</v>
      </c>
      <c r="F357" s="13">
        <f t="shared" si="0"/>
        <v>-12152</v>
      </c>
    </row>
    <row r="358" spans="1:6">
      <c r="A358" s="7">
        <v>0.30148148148148146</v>
      </c>
      <c r="B358" s="4" t="s">
        <v>18</v>
      </c>
      <c r="C358" s="4" t="s">
        <v>8</v>
      </c>
      <c r="D358" s="12">
        <v>1736</v>
      </c>
      <c r="E358" s="12">
        <v>1</v>
      </c>
      <c r="F358" s="13">
        <f t="shared" si="0"/>
        <v>-1736</v>
      </c>
    </row>
    <row r="359" spans="1:6">
      <c r="A359" s="7">
        <v>0.30148148148148146</v>
      </c>
      <c r="B359" s="4" t="s">
        <v>18</v>
      </c>
      <c r="C359" s="4" t="s">
        <v>8</v>
      </c>
      <c r="D359" s="12">
        <v>1736</v>
      </c>
      <c r="E359" s="12">
        <v>1</v>
      </c>
      <c r="F359" s="13">
        <f t="shared" si="0"/>
        <v>-1736</v>
      </c>
    </row>
    <row r="360" spans="1:6">
      <c r="A360" s="7">
        <v>0.30148148148148146</v>
      </c>
      <c r="B360" s="4" t="s">
        <v>18</v>
      </c>
      <c r="C360" s="4" t="s">
        <v>8</v>
      </c>
      <c r="D360" s="12">
        <v>1736</v>
      </c>
      <c r="E360" s="12">
        <v>3</v>
      </c>
      <c r="F360" s="13">
        <f t="shared" si="0"/>
        <v>-5208</v>
      </c>
    </row>
    <row r="361" spans="1:6">
      <c r="A361" s="7">
        <v>0.30148148148148146</v>
      </c>
      <c r="B361" s="4" t="s">
        <v>18</v>
      </c>
      <c r="C361" s="4" t="s">
        <v>8</v>
      </c>
      <c r="D361" s="12">
        <v>1736</v>
      </c>
      <c r="E361" s="12">
        <v>2</v>
      </c>
      <c r="F361" s="13">
        <f t="shared" si="0"/>
        <v>-3472</v>
      </c>
    </row>
    <row r="362" spans="1:6">
      <c r="A362" s="7">
        <v>0.30148148148148146</v>
      </c>
      <c r="B362" s="4" t="s">
        <v>18</v>
      </c>
      <c r="C362" s="4" t="s">
        <v>8</v>
      </c>
      <c r="D362" s="12">
        <v>1736</v>
      </c>
      <c r="E362" s="12">
        <v>2</v>
      </c>
      <c r="F362" s="13">
        <f t="shared" si="0"/>
        <v>-3472</v>
      </c>
    </row>
    <row r="363" spans="1:6">
      <c r="A363" s="7">
        <v>0.30015046296296294</v>
      </c>
      <c r="B363" s="4" t="s">
        <v>21</v>
      </c>
      <c r="C363" s="4" t="s">
        <v>8</v>
      </c>
      <c r="D363" s="12">
        <v>73796</v>
      </c>
      <c r="E363" s="12">
        <v>3</v>
      </c>
      <c r="F363" s="13">
        <f t="shared" si="0"/>
        <v>-221388</v>
      </c>
    </row>
    <row r="364" spans="1:6">
      <c r="A364" s="7">
        <v>0.30015046296296294</v>
      </c>
      <c r="B364" s="4" t="s">
        <v>23</v>
      </c>
      <c r="C364" s="4" t="s">
        <v>7</v>
      </c>
      <c r="D364" s="12">
        <v>73018</v>
      </c>
      <c r="E364" s="12">
        <v>3</v>
      </c>
      <c r="F364" s="13">
        <f t="shared" si="0"/>
        <v>219054</v>
      </c>
    </row>
    <row r="365" spans="1:6">
      <c r="A365" s="7">
        <v>0.29614583333333333</v>
      </c>
      <c r="B365" s="4" t="s">
        <v>18</v>
      </c>
      <c r="C365" s="4" t="s">
        <v>7</v>
      </c>
      <c r="D365" s="12">
        <v>1735.3</v>
      </c>
      <c r="E365" s="12">
        <v>154</v>
      </c>
      <c r="F365" s="13">
        <f t="shared" si="0"/>
        <v>267236.2</v>
      </c>
    </row>
    <row r="366" spans="1:6">
      <c r="D366" s="15"/>
      <c r="F366" s="3">
        <f>SUM(F2:F365)</f>
        <v>-53539.717000000004</v>
      </c>
    </row>
    <row r="367" spans="1:6">
      <c r="D367" s="15"/>
      <c r="F367" s="11"/>
    </row>
    <row r="368" spans="1:6">
      <c r="D368" s="15"/>
      <c r="F368" s="11"/>
    </row>
    <row r="369" spans="4:6">
      <c r="D369" s="15"/>
      <c r="F369" s="11"/>
    </row>
    <row r="370" spans="4:6">
      <c r="D370" s="15"/>
      <c r="F370" s="11"/>
    </row>
    <row r="371" spans="4:6">
      <c r="D371" s="15"/>
      <c r="F371" s="11"/>
    </row>
    <row r="372" spans="4:6">
      <c r="D372" s="15"/>
      <c r="F372" s="11"/>
    </row>
    <row r="373" spans="4:6">
      <c r="D373" s="15"/>
      <c r="F373" s="11"/>
    </row>
    <row r="374" spans="4:6">
      <c r="D374" s="15"/>
      <c r="F374" s="11"/>
    </row>
    <row r="375" spans="4:6">
      <c r="D375" s="15"/>
      <c r="F375" s="11"/>
    </row>
    <row r="376" spans="4:6">
      <c r="D376" s="15"/>
      <c r="F376" s="11"/>
    </row>
    <row r="377" spans="4:6">
      <c r="D377" s="15"/>
      <c r="F377" s="11"/>
    </row>
    <row r="378" spans="4:6">
      <c r="D378" s="15"/>
      <c r="F378" s="11"/>
    </row>
    <row r="379" spans="4:6">
      <c r="D379" s="15"/>
      <c r="F379" s="11"/>
    </row>
    <row r="380" spans="4:6">
      <c r="D380" s="15"/>
      <c r="F380" s="11"/>
    </row>
    <row r="381" spans="4:6">
      <c r="D381" s="15"/>
      <c r="F381" s="11"/>
    </row>
    <row r="382" spans="4:6">
      <c r="D382" s="15"/>
      <c r="F382" s="11"/>
    </row>
    <row r="383" spans="4:6">
      <c r="D383" s="15"/>
      <c r="F383" s="11"/>
    </row>
    <row r="384" spans="4:6">
      <c r="D384" s="15"/>
      <c r="F384" s="11"/>
    </row>
    <row r="385" spans="4:6">
      <c r="D385" s="15"/>
      <c r="F385" s="11"/>
    </row>
    <row r="386" spans="4:6">
      <c r="D386" s="15"/>
      <c r="F386" s="11"/>
    </row>
    <row r="387" spans="4:6">
      <c r="D387" s="15"/>
      <c r="F387" s="11"/>
    </row>
    <row r="388" spans="4:6">
      <c r="D388" s="15"/>
      <c r="F388" s="11"/>
    </row>
    <row r="389" spans="4:6">
      <c r="D389" s="15"/>
      <c r="F389" s="11"/>
    </row>
    <row r="390" spans="4:6">
      <c r="D390" s="15"/>
      <c r="F390" s="11"/>
    </row>
    <row r="391" spans="4:6">
      <c r="D391" s="15"/>
      <c r="F391" s="11"/>
    </row>
    <row r="392" spans="4:6">
      <c r="D392" s="15"/>
      <c r="F392" s="11"/>
    </row>
    <row r="393" spans="4:6">
      <c r="D393" s="15"/>
      <c r="F393" s="11"/>
    </row>
    <row r="394" spans="4:6">
      <c r="D394" s="15"/>
      <c r="F394" s="11"/>
    </row>
    <row r="395" spans="4:6">
      <c r="D395" s="15"/>
      <c r="F395" s="11"/>
    </row>
    <row r="396" spans="4:6">
      <c r="D396" s="15"/>
      <c r="F396" s="11"/>
    </row>
    <row r="397" spans="4:6">
      <c r="D397" s="15"/>
      <c r="F397" s="11"/>
    </row>
    <row r="398" spans="4:6">
      <c r="D398" s="15"/>
      <c r="F398" s="11"/>
    </row>
    <row r="399" spans="4:6">
      <c r="D399" s="15"/>
      <c r="F399" s="11"/>
    </row>
    <row r="400" spans="4:6">
      <c r="D400" s="15"/>
      <c r="F400" s="11"/>
    </row>
    <row r="401" spans="4:6">
      <c r="D401" s="15"/>
      <c r="F401" s="11"/>
    </row>
    <row r="402" spans="4:6">
      <c r="D402" s="15"/>
      <c r="F402" s="11"/>
    </row>
    <row r="403" spans="4:6">
      <c r="D403" s="15"/>
      <c r="F403" s="11"/>
    </row>
    <row r="404" spans="4:6">
      <c r="D404" s="15"/>
      <c r="F404" s="11"/>
    </row>
    <row r="405" spans="4:6">
      <c r="D405" s="15"/>
      <c r="F405" s="11"/>
    </row>
    <row r="406" spans="4:6">
      <c r="D406" s="15"/>
      <c r="F406" s="11"/>
    </row>
    <row r="407" spans="4:6">
      <c r="D407" s="15"/>
      <c r="F407" s="11"/>
    </row>
    <row r="408" spans="4:6">
      <c r="D408" s="15"/>
      <c r="F408" s="11"/>
    </row>
    <row r="409" spans="4:6">
      <c r="D409" s="15"/>
      <c r="F409" s="11"/>
    </row>
    <row r="410" spans="4:6">
      <c r="D410" s="15"/>
      <c r="F410" s="11"/>
    </row>
    <row r="411" spans="4:6">
      <c r="D411" s="15"/>
      <c r="F411" s="11"/>
    </row>
    <row r="412" spans="4:6">
      <c r="D412" s="15"/>
      <c r="F412" s="11"/>
    </row>
    <row r="413" spans="4:6">
      <c r="D413" s="15"/>
      <c r="F413" s="11"/>
    </row>
    <row r="414" spans="4:6">
      <c r="D414" s="15"/>
      <c r="F414" s="11"/>
    </row>
    <row r="415" spans="4:6">
      <c r="D415" s="15"/>
      <c r="F415" s="11"/>
    </row>
    <row r="416" spans="4:6">
      <c r="D416" s="15"/>
      <c r="F416" s="11"/>
    </row>
    <row r="417" spans="4:6">
      <c r="D417" s="15"/>
      <c r="F417" s="11"/>
    </row>
    <row r="418" spans="4:6">
      <c r="D418" s="15"/>
      <c r="F418" s="11"/>
    </row>
    <row r="419" spans="4:6">
      <c r="D419" s="15"/>
      <c r="F419" s="11"/>
    </row>
    <row r="420" spans="4:6">
      <c r="D420" s="15"/>
      <c r="F420" s="11"/>
    </row>
    <row r="421" spans="4:6">
      <c r="D421" s="15"/>
      <c r="F421" s="11"/>
    </row>
    <row r="422" spans="4:6">
      <c r="D422" s="15"/>
      <c r="F422" s="11"/>
    </row>
    <row r="423" spans="4:6">
      <c r="D423" s="15"/>
      <c r="F423" s="11"/>
    </row>
    <row r="424" spans="4:6">
      <c r="D424" s="15"/>
      <c r="F424" s="11"/>
    </row>
    <row r="425" spans="4:6">
      <c r="D425" s="15"/>
      <c r="F425" s="11"/>
    </row>
    <row r="426" spans="4:6">
      <c r="D426" s="15"/>
      <c r="F426" s="11"/>
    </row>
    <row r="427" spans="4:6">
      <c r="D427" s="15"/>
      <c r="F427" s="11"/>
    </row>
    <row r="428" spans="4:6">
      <c r="D428" s="15"/>
      <c r="F428" s="11"/>
    </row>
    <row r="429" spans="4:6">
      <c r="D429" s="15"/>
      <c r="F429" s="11"/>
    </row>
    <row r="430" spans="4:6">
      <c r="D430" s="15"/>
      <c r="F430" s="11"/>
    </row>
    <row r="431" spans="4:6">
      <c r="D431" s="15"/>
      <c r="F431" s="11"/>
    </row>
    <row r="432" spans="4:6">
      <c r="D432" s="15"/>
      <c r="F432" s="11"/>
    </row>
    <row r="433" spans="4:6">
      <c r="D433" s="15"/>
      <c r="F433" s="11"/>
    </row>
    <row r="434" spans="4:6">
      <c r="D434" s="15"/>
      <c r="F434" s="11"/>
    </row>
    <row r="435" spans="4:6">
      <c r="D435" s="15"/>
      <c r="F435" s="11"/>
    </row>
    <row r="436" spans="4:6">
      <c r="D436" s="15"/>
      <c r="F436" s="11"/>
    </row>
    <row r="437" spans="4:6">
      <c r="D437" s="15"/>
      <c r="F437" s="11"/>
    </row>
    <row r="438" spans="4:6">
      <c r="D438" s="15"/>
      <c r="F438" s="11"/>
    </row>
    <row r="439" spans="4:6">
      <c r="D439" s="15"/>
      <c r="F439" s="11"/>
    </row>
    <row r="440" spans="4:6">
      <c r="D440" s="15"/>
      <c r="F440" s="11"/>
    </row>
    <row r="441" spans="4:6">
      <c r="D441" s="15"/>
      <c r="F441" s="11"/>
    </row>
    <row r="442" spans="4:6">
      <c r="D442" s="15"/>
      <c r="F442" s="11"/>
    </row>
    <row r="443" spans="4:6">
      <c r="D443" s="15"/>
      <c r="F443" s="11"/>
    </row>
    <row r="444" spans="4:6">
      <c r="D444" s="15"/>
      <c r="F444" s="11"/>
    </row>
    <row r="445" spans="4:6">
      <c r="D445" s="15"/>
      <c r="F445" s="11"/>
    </row>
    <row r="446" spans="4:6">
      <c r="D446" s="15"/>
      <c r="F446" s="11"/>
    </row>
    <row r="447" spans="4:6">
      <c r="D447" s="15"/>
      <c r="F447" s="11"/>
    </row>
    <row r="448" spans="4:6">
      <c r="D448" s="15"/>
      <c r="F448" s="11"/>
    </row>
    <row r="449" spans="4:6">
      <c r="D449" s="15"/>
      <c r="F449" s="11"/>
    </row>
    <row r="450" spans="4:6">
      <c r="D450" s="15"/>
      <c r="F450" s="11"/>
    </row>
    <row r="451" spans="4:6">
      <c r="D451" s="15"/>
      <c r="F451" s="11"/>
    </row>
    <row r="452" spans="4:6">
      <c r="D452" s="15"/>
      <c r="F452" s="11"/>
    </row>
    <row r="453" spans="4:6">
      <c r="D453" s="15"/>
      <c r="F453" s="11"/>
    </row>
    <row r="454" spans="4:6">
      <c r="D454" s="15"/>
      <c r="F454" s="11"/>
    </row>
    <row r="455" spans="4:6">
      <c r="D455" s="15"/>
      <c r="F455" s="11"/>
    </row>
    <row r="456" spans="4:6">
      <c r="D456" s="15"/>
      <c r="F456" s="11"/>
    </row>
    <row r="457" spans="4:6">
      <c r="D457" s="15"/>
      <c r="F457" s="11"/>
    </row>
    <row r="458" spans="4:6">
      <c r="D458" s="15"/>
      <c r="F458" s="11"/>
    </row>
    <row r="459" spans="4:6">
      <c r="D459" s="15"/>
      <c r="F459" s="11"/>
    </row>
    <row r="460" spans="4:6">
      <c r="D460" s="15"/>
      <c r="F460" s="11"/>
    </row>
    <row r="461" spans="4:6">
      <c r="D461" s="15"/>
      <c r="F461" s="11"/>
    </row>
    <row r="462" spans="4:6">
      <c r="D462" s="15"/>
      <c r="F462" s="11"/>
    </row>
    <row r="463" spans="4:6">
      <c r="D463" s="15"/>
      <c r="F463" s="11"/>
    </row>
    <row r="464" spans="4:6">
      <c r="D464" s="15"/>
      <c r="F464" s="11"/>
    </row>
    <row r="465" spans="4:6">
      <c r="D465" s="15"/>
      <c r="F465" s="11"/>
    </row>
    <row r="466" spans="4:6">
      <c r="D466" s="15"/>
      <c r="F466" s="11"/>
    </row>
    <row r="467" spans="4:6">
      <c r="D467" s="15"/>
      <c r="F467" s="11"/>
    </row>
    <row r="468" spans="4:6">
      <c r="D468" s="15"/>
      <c r="F468" s="11"/>
    </row>
    <row r="469" spans="4:6">
      <c r="D469" s="15"/>
      <c r="F469" s="11"/>
    </row>
    <row r="470" spans="4:6">
      <c r="D470" s="15"/>
      <c r="F470" s="11"/>
    </row>
    <row r="471" spans="4:6">
      <c r="D471" s="15"/>
      <c r="F471" s="11"/>
    </row>
    <row r="472" spans="4:6">
      <c r="D472" s="15"/>
      <c r="F472" s="11"/>
    </row>
    <row r="473" spans="4:6">
      <c r="D473" s="15"/>
      <c r="F473" s="11"/>
    </row>
    <row r="474" spans="4:6">
      <c r="D474" s="15"/>
      <c r="F474" s="11"/>
    </row>
    <row r="475" spans="4:6">
      <c r="D475" s="15"/>
      <c r="F475" s="11"/>
    </row>
    <row r="476" spans="4:6">
      <c r="D476" s="15"/>
      <c r="F476" s="11"/>
    </row>
    <row r="477" spans="4:6">
      <c r="D477" s="15"/>
      <c r="F477" s="11"/>
    </row>
    <row r="478" spans="4:6">
      <c r="D478" s="15"/>
      <c r="F478" s="11"/>
    </row>
    <row r="479" spans="4:6">
      <c r="D479" s="15"/>
      <c r="F479" s="11"/>
    </row>
    <row r="480" spans="4:6">
      <c r="D480" s="15"/>
      <c r="F480" s="11"/>
    </row>
    <row r="481" spans="4:6">
      <c r="D481" s="15"/>
      <c r="F481" s="11"/>
    </row>
    <row r="482" spans="4:6">
      <c r="D482" s="15"/>
      <c r="F482" s="11"/>
    </row>
    <row r="483" spans="4:6">
      <c r="D483" s="15"/>
      <c r="F483" s="11"/>
    </row>
    <row r="484" spans="4:6">
      <c r="D484" s="15"/>
      <c r="F484" s="11"/>
    </row>
    <row r="485" spans="4:6">
      <c r="D485" s="15"/>
      <c r="F485" s="11"/>
    </row>
    <row r="486" spans="4:6">
      <c r="D486" s="15"/>
      <c r="F486" s="11"/>
    </row>
    <row r="487" spans="4:6">
      <c r="D487" s="15"/>
      <c r="F487" s="11"/>
    </row>
    <row r="488" spans="4:6">
      <c r="D488" s="15"/>
      <c r="F488" s="11"/>
    </row>
    <row r="489" spans="4:6">
      <c r="D489" s="15"/>
      <c r="F489" s="11"/>
    </row>
    <row r="490" spans="4:6">
      <c r="D490" s="15"/>
      <c r="F490" s="11"/>
    </row>
    <row r="491" spans="4:6">
      <c r="D491" s="15"/>
      <c r="F491" s="11"/>
    </row>
    <row r="492" spans="4:6">
      <c r="D492" s="15"/>
      <c r="F492" s="11"/>
    </row>
    <row r="493" spans="4:6">
      <c r="D493" s="15"/>
      <c r="F493" s="11"/>
    </row>
    <row r="494" spans="4:6">
      <c r="D494" s="15"/>
      <c r="F494" s="11"/>
    </row>
    <row r="495" spans="4:6">
      <c r="D495" s="15"/>
      <c r="F495" s="11"/>
    </row>
    <row r="496" spans="4:6">
      <c r="D496" s="15"/>
      <c r="F496" s="11"/>
    </row>
    <row r="497" spans="4:6">
      <c r="D497" s="15"/>
      <c r="F497" s="11"/>
    </row>
    <row r="498" spans="4:6">
      <c r="D498" s="15"/>
      <c r="F498" s="11"/>
    </row>
    <row r="499" spans="4:6">
      <c r="D499" s="15"/>
      <c r="F499" s="11"/>
    </row>
    <row r="500" spans="4:6">
      <c r="D500" s="15"/>
      <c r="F500" s="11"/>
    </row>
    <row r="501" spans="4:6">
      <c r="D501" s="15"/>
      <c r="F501" s="11"/>
    </row>
    <row r="502" spans="4:6">
      <c r="D502" s="15"/>
      <c r="F502" s="11"/>
    </row>
    <row r="503" spans="4:6">
      <c r="D503" s="15"/>
      <c r="F503" s="11"/>
    </row>
    <row r="504" spans="4:6">
      <c r="D504" s="15"/>
      <c r="F504" s="11"/>
    </row>
    <row r="505" spans="4:6">
      <c r="D505" s="15"/>
      <c r="F505" s="11"/>
    </row>
    <row r="506" spans="4:6">
      <c r="D506" s="15"/>
      <c r="F506" s="11"/>
    </row>
    <row r="507" spans="4:6">
      <c r="D507" s="15"/>
      <c r="F507" s="11"/>
    </row>
    <row r="508" spans="4:6">
      <c r="D508" s="15"/>
      <c r="F508" s="11"/>
    </row>
    <row r="509" spans="4:6">
      <c r="D509" s="15"/>
      <c r="F509" s="11"/>
    </row>
    <row r="510" spans="4:6">
      <c r="D510" s="15"/>
      <c r="F510" s="11"/>
    </row>
    <row r="511" spans="4:6">
      <c r="D511" s="15"/>
      <c r="F511" s="11"/>
    </row>
    <row r="512" spans="4:6">
      <c r="D512" s="15"/>
      <c r="F512" s="11"/>
    </row>
    <row r="513" spans="4:6">
      <c r="D513" s="15"/>
      <c r="F513" s="11"/>
    </row>
    <row r="514" spans="4:6">
      <c r="D514" s="15"/>
      <c r="F514" s="11"/>
    </row>
    <row r="515" spans="4:6">
      <c r="D515" s="15"/>
      <c r="F515" s="11"/>
    </row>
    <row r="516" spans="4:6">
      <c r="D516" s="15"/>
      <c r="F516" s="11"/>
    </row>
    <row r="517" spans="4:6">
      <c r="D517" s="15"/>
      <c r="F517" s="11"/>
    </row>
    <row r="518" spans="4:6">
      <c r="D518" s="15"/>
      <c r="F518" s="11"/>
    </row>
    <row r="519" spans="4:6">
      <c r="D519" s="15"/>
      <c r="F519" s="11"/>
    </row>
    <row r="520" spans="4:6">
      <c r="D520" s="15"/>
      <c r="F520" s="11"/>
    </row>
    <row r="521" spans="4:6">
      <c r="D521" s="15"/>
      <c r="F521" s="11"/>
    </row>
    <row r="522" spans="4:6">
      <c r="D522" s="15"/>
      <c r="F522" s="11"/>
    </row>
    <row r="523" spans="4:6">
      <c r="D523" s="15"/>
      <c r="F523" s="11"/>
    </row>
    <row r="524" spans="4:6">
      <c r="D524" s="15"/>
      <c r="F524" s="11"/>
    </row>
    <row r="525" spans="4:6">
      <c r="D525" s="15"/>
      <c r="F525" s="11"/>
    </row>
    <row r="526" spans="4:6">
      <c r="D526" s="15"/>
      <c r="F526" s="11"/>
    </row>
    <row r="527" spans="4:6">
      <c r="D527" s="15"/>
      <c r="F527" s="11"/>
    </row>
    <row r="528" spans="4:6">
      <c r="D528" s="15"/>
      <c r="F528" s="11"/>
    </row>
    <row r="529" spans="4:6">
      <c r="D529" s="15"/>
      <c r="F529" s="11"/>
    </row>
    <row r="530" spans="4:6">
      <c r="D530" s="15"/>
      <c r="F530" s="11"/>
    </row>
    <row r="531" spans="4:6">
      <c r="D531" s="15"/>
      <c r="F531" s="11"/>
    </row>
    <row r="532" spans="4:6">
      <c r="D532" s="15"/>
      <c r="F532" s="11"/>
    </row>
    <row r="533" spans="4:6">
      <c r="D533" s="15"/>
      <c r="F533" s="11"/>
    </row>
    <row r="534" spans="4:6">
      <c r="D534" s="15"/>
      <c r="F534" s="11"/>
    </row>
    <row r="535" spans="4:6">
      <c r="D535" s="15"/>
      <c r="F535" s="11"/>
    </row>
    <row r="536" spans="4:6">
      <c r="D536" s="15"/>
      <c r="F536" s="11"/>
    </row>
    <row r="537" spans="4:6">
      <c r="D537" s="15"/>
      <c r="F537" s="11"/>
    </row>
    <row r="538" spans="4:6">
      <c r="D538" s="15"/>
      <c r="F538" s="11"/>
    </row>
    <row r="539" spans="4:6">
      <c r="D539" s="15"/>
      <c r="F539" s="11"/>
    </row>
    <row r="540" spans="4:6">
      <c r="D540" s="15"/>
      <c r="F540" s="11"/>
    </row>
    <row r="541" spans="4:6">
      <c r="D541" s="15"/>
      <c r="F541" s="11"/>
    </row>
    <row r="542" spans="4:6">
      <c r="D542" s="15"/>
      <c r="F542" s="11"/>
    </row>
    <row r="543" spans="4:6">
      <c r="D543" s="15"/>
      <c r="F543" s="11"/>
    </row>
    <row r="544" spans="4:6">
      <c r="D544" s="15"/>
      <c r="F544" s="11"/>
    </row>
    <row r="545" spans="4:6">
      <c r="D545" s="15"/>
      <c r="F545" s="11"/>
    </row>
    <row r="546" spans="4:6">
      <c r="D546" s="15"/>
      <c r="F546" s="11"/>
    </row>
    <row r="547" spans="4:6">
      <c r="D547" s="15"/>
      <c r="F547" s="11"/>
    </row>
    <row r="548" spans="4:6">
      <c r="D548" s="15"/>
      <c r="F548" s="11"/>
    </row>
    <row r="549" spans="4:6">
      <c r="D549" s="15"/>
      <c r="F549" s="11"/>
    </row>
    <row r="550" spans="4:6">
      <c r="D550" s="15"/>
      <c r="F550" s="11"/>
    </row>
    <row r="551" spans="4:6">
      <c r="D551" s="15"/>
      <c r="F551" s="11"/>
    </row>
    <row r="552" spans="4:6">
      <c r="D552" s="15"/>
      <c r="F552" s="11"/>
    </row>
    <row r="553" spans="4:6">
      <c r="D553" s="15"/>
      <c r="F553" s="11"/>
    </row>
    <row r="554" spans="4:6">
      <c r="D554" s="15"/>
      <c r="F554" s="11"/>
    </row>
    <row r="555" spans="4:6">
      <c r="D555" s="15"/>
      <c r="F555" s="11"/>
    </row>
    <row r="556" spans="4:6">
      <c r="D556" s="15"/>
      <c r="F556" s="11"/>
    </row>
    <row r="557" spans="4:6">
      <c r="D557" s="15"/>
      <c r="F557" s="11"/>
    </row>
    <row r="558" spans="4:6">
      <c r="D558" s="15"/>
      <c r="F558" s="11"/>
    </row>
    <row r="559" spans="4:6">
      <c r="D559" s="15"/>
      <c r="F559" s="11"/>
    </row>
    <row r="560" spans="4:6">
      <c r="D560" s="15"/>
      <c r="F560" s="11"/>
    </row>
    <row r="561" spans="4:6">
      <c r="D561" s="15"/>
      <c r="F561" s="11"/>
    </row>
    <row r="562" spans="4:6">
      <c r="D562" s="15"/>
      <c r="F562" s="11"/>
    </row>
    <row r="563" spans="4:6">
      <c r="D563" s="15"/>
      <c r="F563" s="11"/>
    </row>
    <row r="564" spans="4:6">
      <c r="D564" s="15"/>
      <c r="F564" s="11"/>
    </row>
    <row r="565" spans="4:6">
      <c r="D565" s="15"/>
      <c r="F565" s="11"/>
    </row>
    <row r="566" spans="4:6">
      <c r="D566" s="15"/>
      <c r="F566" s="11"/>
    </row>
    <row r="567" spans="4:6">
      <c r="D567" s="15"/>
      <c r="F567" s="11"/>
    </row>
    <row r="568" spans="4:6">
      <c r="D568" s="15"/>
      <c r="F568" s="11"/>
    </row>
    <row r="569" spans="4:6">
      <c r="D569" s="15"/>
      <c r="F569" s="11"/>
    </row>
    <row r="570" spans="4:6">
      <c r="D570" s="15"/>
      <c r="F570" s="11"/>
    </row>
    <row r="571" spans="4:6">
      <c r="D571" s="15"/>
      <c r="F571" s="11"/>
    </row>
    <row r="572" spans="4:6">
      <c r="D572" s="15"/>
      <c r="F572" s="11"/>
    </row>
    <row r="573" spans="4:6">
      <c r="D573" s="15"/>
      <c r="F573" s="11"/>
    </row>
    <row r="574" spans="4:6">
      <c r="D574" s="15"/>
      <c r="F574" s="11"/>
    </row>
    <row r="575" spans="4:6">
      <c r="D575" s="15"/>
      <c r="F575" s="11"/>
    </row>
    <row r="576" spans="4:6">
      <c r="D576" s="15"/>
      <c r="F576" s="11"/>
    </row>
    <row r="577" spans="4:6">
      <c r="D577" s="15"/>
      <c r="F577" s="11"/>
    </row>
    <row r="578" spans="4:6">
      <c r="D578" s="15"/>
      <c r="F578" s="11"/>
    </row>
    <row r="579" spans="4:6">
      <c r="D579" s="15"/>
      <c r="F579" s="11"/>
    </row>
    <row r="580" spans="4:6">
      <c r="D580" s="15"/>
      <c r="F580" s="11"/>
    </row>
    <row r="581" spans="4:6">
      <c r="D581" s="15"/>
      <c r="F581" s="11"/>
    </row>
    <row r="582" spans="4:6">
      <c r="D582" s="15"/>
      <c r="F582" s="11"/>
    </row>
    <row r="583" spans="4:6">
      <c r="D583" s="15"/>
      <c r="F583" s="11"/>
    </row>
    <row r="584" spans="4:6">
      <c r="D584" s="15"/>
      <c r="F584" s="11"/>
    </row>
    <row r="585" spans="4:6">
      <c r="D585" s="15"/>
      <c r="F585" s="11"/>
    </row>
    <row r="586" spans="4:6">
      <c r="D586" s="15"/>
      <c r="F586" s="11"/>
    </row>
    <row r="587" spans="4:6">
      <c r="D587" s="15"/>
      <c r="F587" s="11"/>
    </row>
    <row r="588" spans="4:6">
      <c r="D588" s="15"/>
      <c r="F588" s="11"/>
    </row>
    <row r="589" spans="4:6">
      <c r="D589" s="15"/>
      <c r="F589" s="11"/>
    </row>
    <row r="590" spans="4:6">
      <c r="D590" s="15"/>
      <c r="F590" s="11"/>
    </row>
    <row r="591" spans="4:6">
      <c r="D591" s="15"/>
      <c r="F591" s="11"/>
    </row>
    <row r="592" spans="4:6">
      <c r="D592" s="15"/>
      <c r="F592" s="11"/>
    </row>
    <row r="593" spans="4:6">
      <c r="D593" s="15"/>
      <c r="F593" s="11"/>
    </row>
    <row r="594" spans="4:6">
      <c r="D594" s="15"/>
      <c r="F594" s="11"/>
    </row>
    <row r="595" spans="4:6">
      <c r="D595" s="15"/>
      <c r="F595" s="11"/>
    </row>
    <row r="596" spans="4:6">
      <c r="D596" s="15"/>
      <c r="F596" s="11"/>
    </row>
    <row r="597" spans="4:6">
      <c r="D597" s="15"/>
      <c r="F597" s="11"/>
    </row>
    <row r="598" spans="4:6">
      <c r="D598" s="15"/>
      <c r="F598" s="11"/>
    </row>
    <row r="599" spans="4:6">
      <c r="D599" s="15"/>
      <c r="F599" s="11"/>
    </row>
    <row r="600" spans="4:6">
      <c r="D600" s="15"/>
      <c r="F600" s="11"/>
    </row>
    <row r="601" spans="4:6">
      <c r="D601" s="15"/>
      <c r="F601" s="11"/>
    </row>
    <row r="602" spans="4:6">
      <c r="D602" s="15"/>
      <c r="F602" s="11"/>
    </row>
    <row r="603" spans="4:6">
      <c r="D603" s="15"/>
      <c r="F603" s="11"/>
    </row>
    <row r="604" spans="4:6">
      <c r="D604" s="15"/>
      <c r="F604" s="11"/>
    </row>
    <row r="605" spans="4:6">
      <c r="D605" s="15"/>
      <c r="F605" s="11"/>
    </row>
    <row r="606" spans="4:6">
      <c r="D606" s="15"/>
      <c r="F606" s="11"/>
    </row>
    <row r="607" spans="4:6">
      <c r="D607" s="15"/>
      <c r="F607" s="11"/>
    </row>
    <row r="608" spans="4:6">
      <c r="D608" s="15"/>
      <c r="F608" s="11"/>
    </row>
    <row r="609" spans="4:6">
      <c r="D609" s="15"/>
      <c r="F609" s="11"/>
    </row>
    <row r="610" spans="4:6">
      <c r="D610" s="15"/>
      <c r="F610" s="11"/>
    </row>
    <row r="611" spans="4:6">
      <c r="D611" s="15"/>
      <c r="F611" s="11"/>
    </row>
    <row r="612" spans="4:6">
      <c r="D612" s="15"/>
      <c r="F612" s="11"/>
    </row>
    <row r="613" spans="4:6">
      <c r="D613" s="15"/>
      <c r="F613" s="11"/>
    </row>
    <row r="614" spans="4:6">
      <c r="D614" s="15"/>
      <c r="F614" s="11"/>
    </row>
    <row r="615" spans="4:6">
      <c r="D615" s="15"/>
      <c r="F615" s="11"/>
    </row>
    <row r="616" spans="4:6">
      <c r="D616" s="15"/>
      <c r="F616" s="11"/>
    </row>
    <row r="617" spans="4:6">
      <c r="D617" s="15"/>
      <c r="F617" s="11"/>
    </row>
    <row r="618" spans="4:6">
      <c r="D618" s="15"/>
      <c r="F618" s="11"/>
    </row>
    <row r="619" spans="4:6">
      <c r="D619" s="15"/>
      <c r="F619" s="11"/>
    </row>
    <row r="620" spans="4:6">
      <c r="D620" s="15"/>
      <c r="F620" s="11"/>
    </row>
    <row r="621" spans="4:6">
      <c r="D621" s="15"/>
      <c r="F621" s="11"/>
    </row>
    <row r="622" spans="4:6">
      <c r="D622" s="15"/>
      <c r="F622" s="11"/>
    </row>
    <row r="623" spans="4:6">
      <c r="D623" s="15"/>
      <c r="F623" s="11"/>
    </row>
    <row r="624" spans="4:6">
      <c r="D624" s="15"/>
      <c r="F624" s="11"/>
    </row>
    <row r="625" spans="4:6">
      <c r="D625" s="15"/>
      <c r="F625" s="11"/>
    </row>
    <row r="626" spans="4:6">
      <c r="D626" s="15"/>
      <c r="F626" s="11"/>
    </row>
    <row r="627" spans="4:6">
      <c r="D627" s="15"/>
      <c r="F627" s="11"/>
    </row>
    <row r="628" spans="4:6">
      <c r="D628" s="15"/>
      <c r="F628" s="11"/>
    </row>
    <row r="629" spans="4:6">
      <c r="D629" s="15"/>
      <c r="F629" s="11"/>
    </row>
    <row r="630" spans="4:6">
      <c r="D630" s="15"/>
      <c r="F630" s="11"/>
    </row>
    <row r="631" spans="4:6">
      <c r="D631" s="15"/>
      <c r="F631" s="11"/>
    </row>
    <row r="632" spans="4:6">
      <c r="D632" s="15"/>
      <c r="F632" s="11"/>
    </row>
    <row r="633" spans="4:6">
      <c r="D633" s="15"/>
      <c r="F633" s="11"/>
    </row>
    <row r="634" spans="4:6">
      <c r="D634" s="15"/>
      <c r="F634" s="11"/>
    </row>
    <row r="635" spans="4:6">
      <c r="D635" s="15"/>
      <c r="F635" s="11"/>
    </row>
    <row r="636" spans="4:6">
      <c r="D636" s="15"/>
      <c r="F636" s="11"/>
    </row>
    <row r="637" spans="4:6">
      <c r="D637" s="15"/>
      <c r="F637" s="11"/>
    </row>
    <row r="638" spans="4:6">
      <c r="D638" s="15"/>
      <c r="F638" s="11"/>
    </row>
    <row r="639" spans="4:6">
      <c r="D639" s="15"/>
      <c r="F639" s="11"/>
    </row>
    <row r="640" spans="4:6">
      <c r="D640" s="15"/>
      <c r="F640" s="11"/>
    </row>
    <row r="641" spans="4:6">
      <c r="D641" s="15"/>
      <c r="F641" s="11"/>
    </row>
    <row r="642" spans="4:6">
      <c r="D642" s="15"/>
      <c r="F642" s="11"/>
    </row>
    <row r="643" spans="4:6">
      <c r="D643" s="15"/>
      <c r="F643" s="11"/>
    </row>
    <row r="644" spans="4:6">
      <c r="D644" s="15"/>
      <c r="F644" s="11"/>
    </row>
    <row r="645" spans="4:6">
      <c r="D645" s="15"/>
      <c r="F645" s="11"/>
    </row>
    <row r="646" spans="4:6">
      <c r="D646" s="15"/>
      <c r="F646" s="11"/>
    </row>
    <row r="647" spans="4:6">
      <c r="D647" s="15"/>
      <c r="F647" s="11"/>
    </row>
    <row r="648" spans="4:6">
      <c r="D648" s="15"/>
      <c r="F648" s="11"/>
    </row>
    <row r="649" spans="4:6">
      <c r="D649" s="15"/>
      <c r="F649" s="11"/>
    </row>
    <row r="650" spans="4:6">
      <c r="D650" s="15"/>
      <c r="F650" s="11"/>
    </row>
    <row r="651" spans="4:6">
      <c r="D651" s="15"/>
      <c r="F651" s="11"/>
    </row>
    <row r="652" spans="4:6">
      <c r="D652" s="15"/>
      <c r="F652" s="11"/>
    </row>
    <row r="653" spans="4:6">
      <c r="D653" s="15"/>
      <c r="F653" s="11"/>
    </row>
    <row r="654" spans="4:6">
      <c r="D654" s="15"/>
      <c r="F654" s="11"/>
    </row>
    <row r="655" spans="4:6">
      <c r="D655" s="15"/>
      <c r="F655" s="11"/>
    </row>
    <row r="656" spans="4:6">
      <c r="D656" s="15"/>
      <c r="F656" s="11"/>
    </row>
    <row r="657" spans="4:6">
      <c r="D657" s="15"/>
      <c r="F657" s="11"/>
    </row>
    <row r="658" spans="4:6">
      <c r="D658" s="15"/>
      <c r="F658" s="11"/>
    </row>
    <row r="659" spans="4:6">
      <c r="D659" s="15"/>
      <c r="F659" s="11"/>
    </row>
    <row r="660" spans="4:6">
      <c r="D660" s="15"/>
      <c r="F660" s="11"/>
    </row>
    <row r="661" spans="4:6">
      <c r="D661" s="15"/>
      <c r="F661" s="11"/>
    </row>
    <row r="662" spans="4:6">
      <c r="D662" s="15"/>
      <c r="F662" s="11"/>
    </row>
    <row r="663" spans="4:6">
      <c r="D663" s="15"/>
      <c r="F663" s="11"/>
    </row>
    <row r="664" spans="4:6">
      <c r="D664" s="15"/>
      <c r="F664" s="11"/>
    </row>
    <row r="665" spans="4:6">
      <c r="D665" s="15"/>
      <c r="F665" s="11"/>
    </row>
    <row r="666" spans="4:6">
      <c r="D666" s="15"/>
      <c r="F666" s="11"/>
    </row>
    <row r="667" spans="4:6">
      <c r="D667" s="15"/>
      <c r="F667" s="11"/>
    </row>
    <row r="668" spans="4:6">
      <c r="D668" s="15"/>
      <c r="F668" s="11"/>
    </row>
    <row r="669" spans="4:6">
      <c r="D669" s="15"/>
      <c r="F669" s="11"/>
    </row>
    <row r="670" spans="4:6">
      <c r="D670" s="15"/>
      <c r="F670" s="11"/>
    </row>
    <row r="671" spans="4:6">
      <c r="D671" s="15"/>
      <c r="F671" s="11"/>
    </row>
    <row r="672" spans="4:6">
      <c r="D672" s="15"/>
      <c r="F672" s="11"/>
    </row>
    <row r="673" spans="4:6">
      <c r="D673" s="15"/>
      <c r="F673" s="11"/>
    </row>
    <row r="674" spans="4:6">
      <c r="D674" s="15"/>
      <c r="F674" s="11"/>
    </row>
    <row r="675" spans="4:6">
      <c r="D675" s="15"/>
      <c r="F675" s="11"/>
    </row>
    <row r="676" spans="4:6">
      <c r="D676" s="15"/>
      <c r="F676" s="11"/>
    </row>
    <row r="677" spans="4:6">
      <c r="D677" s="15"/>
      <c r="F677" s="11"/>
    </row>
    <row r="678" spans="4:6">
      <c r="D678" s="15"/>
      <c r="F678" s="11"/>
    </row>
    <row r="679" spans="4:6">
      <c r="D679" s="15"/>
      <c r="F679" s="11"/>
    </row>
    <row r="680" spans="4:6">
      <c r="D680" s="15"/>
      <c r="F680" s="11"/>
    </row>
    <row r="681" spans="4:6">
      <c r="D681" s="15"/>
      <c r="F681" s="11"/>
    </row>
    <row r="682" spans="4:6">
      <c r="D682" s="15"/>
      <c r="F682" s="11"/>
    </row>
    <row r="683" spans="4:6">
      <c r="D683" s="15"/>
      <c r="F683" s="11"/>
    </row>
    <row r="684" spans="4:6">
      <c r="D684" s="15"/>
      <c r="F684" s="11"/>
    </row>
    <row r="685" spans="4:6">
      <c r="D685" s="15"/>
      <c r="F685" s="11"/>
    </row>
    <row r="686" spans="4:6">
      <c r="D686" s="15"/>
      <c r="F686" s="11"/>
    </row>
    <row r="687" spans="4:6">
      <c r="D687" s="15"/>
      <c r="F687" s="11"/>
    </row>
    <row r="688" spans="4:6">
      <c r="D688" s="15"/>
      <c r="F688" s="11"/>
    </row>
    <row r="689" spans="4:6">
      <c r="D689" s="15"/>
      <c r="F689" s="11"/>
    </row>
    <row r="690" spans="4:6">
      <c r="D690" s="15"/>
      <c r="F690" s="11"/>
    </row>
    <row r="691" spans="4:6">
      <c r="D691" s="15"/>
      <c r="F691" s="11"/>
    </row>
    <row r="692" spans="4:6">
      <c r="D692" s="15"/>
      <c r="F692" s="11"/>
    </row>
    <row r="693" spans="4:6">
      <c r="D693" s="15"/>
      <c r="F693" s="11"/>
    </row>
    <row r="694" spans="4:6">
      <c r="D694" s="15"/>
      <c r="F694" s="11"/>
    </row>
    <row r="695" spans="4:6">
      <c r="D695" s="15"/>
      <c r="F695" s="11"/>
    </row>
    <row r="696" spans="4:6">
      <c r="D696" s="15"/>
      <c r="F696" s="11"/>
    </row>
    <row r="697" spans="4:6">
      <c r="D697" s="15"/>
      <c r="F697" s="11"/>
    </row>
    <row r="698" spans="4:6">
      <c r="D698" s="15"/>
      <c r="F698" s="11"/>
    </row>
    <row r="699" spans="4:6">
      <c r="D699" s="15"/>
      <c r="F699" s="11"/>
    </row>
    <row r="700" spans="4:6">
      <c r="D700" s="15"/>
      <c r="F700" s="11"/>
    </row>
    <row r="701" spans="4:6">
      <c r="D701" s="15"/>
      <c r="F701" s="11"/>
    </row>
    <row r="702" spans="4:6">
      <c r="D702" s="15"/>
      <c r="F702" s="11"/>
    </row>
    <row r="703" spans="4:6">
      <c r="D703" s="15"/>
      <c r="F703" s="11"/>
    </row>
    <row r="704" spans="4:6">
      <c r="D704" s="15"/>
      <c r="F704" s="11"/>
    </row>
    <row r="705" spans="4:6">
      <c r="D705" s="15"/>
      <c r="F705" s="11"/>
    </row>
    <row r="706" spans="4:6">
      <c r="D706" s="15"/>
      <c r="F706" s="11"/>
    </row>
    <row r="707" spans="4:6">
      <c r="D707" s="15"/>
      <c r="F707" s="11"/>
    </row>
    <row r="708" spans="4:6">
      <c r="D708" s="15"/>
      <c r="F708" s="11"/>
    </row>
    <row r="709" spans="4:6">
      <c r="D709" s="15"/>
      <c r="F709" s="11"/>
    </row>
    <row r="710" spans="4:6">
      <c r="D710" s="15"/>
      <c r="F710" s="11"/>
    </row>
    <row r="711" spans="4:6">
      <c r="D711" s="15"/>
      <c r="F711" s="11"/>
    </row>
    <row r="712" spans="4:6">
      <c r="D712" s="15"/>
      <c r="F712" s="11"/>
    </row>
    <row r="713" spans="4:6">
      <c r="D713" s="15"/>
      <c r="F713" s="11"/>
    </row>
    <row r="714" spans="4:6">
      <c r="D714" s="15"/>
      <c r="F714" s="11"/>
    </row>
    <row r="715" spans="4:6">
      <c r="D715" s="15"/>
      <c r="F715" s="11"/>
    </row>
    <row r="716" spans="4:6">
      <c r="D716" s="15"/>
      <c r="F716" s="11"/>
    </row>
    <row r="717" spans="4:6">
      <c r="D717" s="15"/>
      <c r="F717" s="11"/>
    </row>
    <row r="718" spans="4:6">
      <c r="D718" s="15"/>
      <c r="F718" s="11"/>
    </row>
    <row r="719" spans="4:6">
      <c r="D719" s="15"/>
      <c r="F719" s="11"/>
    </row>
    <row r="720" spans="4:6">
      <c r="D720" s="15"/>
      <c r="F720" s="11"/>
    </row>
    <row r="721" spans="4:6">
      <c r="D721" s="15"/>
      <c r="F721" s="11"/>
    </row>
    <row r="722" spans="4:6">
      <c r="D722" s="15"/>
      <c r="F722" s="11"/>
    </row>
    <row r="723" spans="4:6">
      <c r="D723" s="15"/>
      <c r="F723" s="11"/>
    </row>
    <row r="724" spans="4:6">
      <c r="D724" s="15"/>
      <c r="F724" s="11"/>
    </row>
    <row r="725" spans="4:6">
      <c r="D725" s="15"/>
      <c r="F725" s="11"/>
    </row>
    <row r="726" spans="4:6">
      <c r="D726" s="15"/>
      <c r="F726" s="11"/>
    </row>
    <row r="727" spans="4:6">
      <c r="D727" s="15"/>
      <c r="F727" s="11"/>
    </row>
    <row r="728" spans="4:6">
      <c r="D728" s="15"/>
      <c r="F728" s="11"/>
    </row>
    <row r="729" spans="4:6">
      <c r="D729" s="15"/>
      <c r="F729" s="11"/>
    </row>
    <row r="730" spans="4:6">
      <c r="D730" s="15"/>
      <c r="F730" s="11"/>
    </row>
    <row r="731" spans="4:6">
      <c r="D731" s="15"/>
      <c r="F731" s="11"/>
    </row>
    <row r="732" spans="4:6">
      <c r="D732" s="15"/>
      <c r="F732" s="11"/>
    </row>
    <row r="733" spans="4:6">
      <c r="D733" s="15"/>
      <c r="F733" s="11"/>
    </row>
    <row r="734" spans="4:6">
      <c r="D734" s="15"/>
      <c r="F734" s="11"/>
    </row>
    <row r="735" spans="4:6">
      <c r="D735" s="15"/>
      <c r="F735" s="11"/>
    </row>
    <row r="736" spans="4:6">
      <c r="D736" s="15"/>
      <c r="F736" s="11"/>
    </row>
    <row r="737" spans="4:6">
      <c r="D737" s="15"/>
      <c r="F737" s="11"/>
    </row>
    <row r="738" spans="4:6">
      <c r="D738" s="15"/>
      <c r="F738" s="11"/>
    </row>
    <row r="739" spans="4:6">
      <c r="D739" s="15"/>
      <c r="F739" s="11"/>
    </row>
    <row r="740" spans="4:6">
      <c r="D740" s="15"/>
      <c r="F740" s="11"/>
    </row>
    <row r="741" spans="4:6">
      <c r="D741" s="15"/>
      <c r="F741" s="11"/>
    </row>
    <row r="742" spans="4:6">
      <c r="D742" s="15"/>
      <c r="F742" s="11"/>
    </row>
    <row r="743" spans="4:6">
      <c r="D743" s="15"/>
      <c r="F743" s="11"/>
    </row>
    <row r="744" spans="4:6">
      <c r="D744" s="15"/>
      <c r="F744" s="11"/>
    </row>
    <row r="745" spans="4:6">
      <c r="D745" s="15"/>
      <c r="F745" s="11"/>
    </row>
    <row r="746" spans="4:6">
      <c r="D746" s="15"/>
      <c r="F746" s="11"/>
    </row>
    <row r="747" spans="4:6">
      <c r="D747" s="15"/>
      <c r="F747" s="11"/>
    </row>
    <row r="748" spans="4:6">
      <c r="D748" s="15"/>
      <c r="F748" s="11"/>
    </row>
    <row r="749" spans="4:6">
      <c r="D749" s="15"/>
      <c r="F749" s="11"/>
    </row>
    <row r="750" spans="4:6">
      <c r="D750" s="15"/>
      <c r="F750" s="11"/>
    </row>
    <row r="751" spans="4:6">
      <c r="D751" s="15"/>
      <c r="F751" s="11"/>
    </row>
    <row r="752" spans="4:6">
      <c r="D752" s="15"/>
      <c r="F752" s="11"/>
    </row>
    <row r="753" spans="4:6">
      <c r="D753" s="15"/>
      <c r="F753" s="11"/>
    </row>
    <row r="754" spans="4:6">
      <c r="D754" s="15"/>
      <c r="F754" s="11"/>
    </row>
    <row r="755" spans="4:6">
      <c r="D755" s="15"/>
      <c r="F755" s="11"/>
    </row>
    <row r="756" spans="4:6">
      <c r="D756" s="15"/>
      <c r="F756" s="11"/>
    </row>
    <row r="757" spans="4:6">
      <c r="D757" s="15"/>
      <c r="F757" s="11"/>
    </row>
    <row r="758" spans="4:6">
      <c r="D758" s="15"/>
      <c r="F758" s="11"/>
    </row>
    <row r="759" spans="4:6">
      <c r="D759" s="15"/>
      <c r="F759" s="11"/>
    </row>
    <row r="760" spans="4:6">
      <c r="D760" s="15"/>
      <c r="F760" s="11"/>
    </row>
    <row r="761" spans="4:6">
      <c r="D761" s="15"/>
      <c r="F761" s="11"/>
    </row>
    <row r="762" spans="4:6">
      <c r="D762" s="15"/>
      <c r="F762" s="11"/>
    </row>
    <row r="763" spans="4:6">
      <c r="D763" s="15"/>
      <c r="F763" s="11"/>
    </row>
    <row r="764" spans="4:6">
      <c r="D764" s="15"/>
      <c r="F764" s="11"/>
    </row>
    <row r="765" spans="4:6">
      <c r="D765" s="15"/>
      <c r="F765" s="11"/>
    </row>
    <row r="766" spans="4:6">
      <c r="D766" s="15"/>
      <c r="F766" s="11"/>
    </row>
    <row r="767" spans="4:6">
      <c r="D767" s="15"/>
      <c r="F767" s="11"/>
    </row>
    <row r="768" spans="4:6">
      <c r="D768" s="15"/>
      <c r="F768" s="11"/>
    </row>
    <row r="769" spans="4:6">
      <c r="D769" s="15"/>
      <c r="F769" s="11"/>
    </row>
    <row r="770" spans="4:6">
      <c r="D770" s="15"/>
      <c r="F770" s="11"/>
    </row>
    <row r="771" spans="4:6">
      <c r="D771" s="15"/>
      <c r="F771" s="11"/>
    </row>
    <row r="772" spans="4:6">
      <c r="D772" s="15"/>
      <c r="F772" s="11"/>
    </row>
    <row r="773" spans="4:6">
      <c r="D773" s="15"/>
      <c r="F773" s="11"/>
    </row>
    <row r="774" spans="4:6">
      <c r="D774" s="15"/>
      <c r="F774" s="11"/>
    </row>
    <row r="775" spans="4:6">
      <c r="D775" s="15"/>
      <c r="F775" s="11"/>
    </row>
    <row r="776" spans="4:6">
      <c r="D776" s="15"/>
      <c r="F776" s="11"/>
    </row>
    <row r="777" spans="4:6">
      <c r="D777" s="15"/>
      <c r="F777" s="11"/>
    </row>
    <row r="778" spans="4:6">
      <c r="D778" s="15"/>
      <c r="F778" s="11"/>
    </row>
    <row r="779" spans="4:6">
      <c r="D779" s="15"/>
      <c r="F779" s="11"/>
    </row>
    <row r="780" spans="4:6">
      <c r="D780" s="15"/>
      <c r="F780" s="11"/>
    </row>
    <row r="781" spans="4:6">
      <c r="D781" s="15"/>
      <c r="F781" s="11"/>
    </row>
    <row r="782" spans="4:6">
      <c r="D782" s="15"/>
      <c r="F782" s="11"/>
    </row>
    <row r="783" spans="4:6">
      <c r="D783" s="15"/>
      <c r="F783" s="11"/>
    </row>
    <row r="784" spans="4:6">
      <c r="D784" s="15"/>
      <c r="F784" s="11"/>
    </row>
    <row r="785" spans="4:6">
      <c r="D785" s="15"/>
      <c r="F785" s="11"/>
    </row>
    <row r="786" spans="4:6">
      <c r="D786" s="15"/>
      <c r="F786" s="11"/>
    </row>
    <row r="787" spans="4:6">
      <c r="D787" s="15"/>
      <c r="F787" s="11"/>
    </row>
    <row r="788" spans="4:6">
      <c r="D788" s="15"/>
      <c r="F788" s="11"/>
    </row>
    <row r="789" spans="4:6">
      <c r="D789" s="15"/>
      <c r="F789" s="11"/>
    </row>
    <row r="790" spans="4:6">
      <c r="D790" s="15"/>
      <c r="F790" s="11"/>
    </row>
    <row r="791" spans="4:6">
      <c r="D791" s="15"/>
      <c r="F791" s="11"/>
    </row>
    <row r="792" spans="4:6">
      <c r="D792" s="15"/>
      <c r="F792" s="11"/>
    </row>
    <row r="793" spans="4:6">
      <c r="D793" s="15"/>
      <c r="F793" s="11"/>
    </row>
    <row r="794" spans="4:6">
      <c r="D794" s="15"/>
      <c r="F794" s="11"/>
    </row>
    <row r="795" spans="4:6">
      <c r="D795" s="15"/>
      <c r="F795" s="11"/>
    </row>
    <row r="796" spans="4:6">
      <c r="D796" s="15"/>
      <c r="F796" s="11"/>
    </row>
    <row r="797" spans="4:6">
      <c r="D797" s="15"/>
      <c r="F797" s="11"/>
    </row>
    <row r="798" spans="4:6">
      <c r="D798" s="15"/>
      <c r="F798" s="11"/>
    </row>
    <row r="799" spans="4:6">
      <c r="D799" s="15"/>
      <c r="F799" s="11"/>
    </row>
    <row r="800" spans="4:6">
      <c r="D800" s="15"/>
      <c r="F800" s="11"/>
    </row>
    <row r="801" spans="4:6">
      <c r="D801" s="15"/>
      <c r="F801" s="11"/>
    </row>
    <row r="802" spans="4:6">
      <c r="D802" s="15"/>
      <c r="F802" s="11"/>
    </row>
    <row r="803" spans="4:6">
      <c r="D803" s="15"/>
      <c r="F803" s="11"/>
    </row>
    <row r="804" spans="4:6">
      <c r="D804" s="15"/>
      <c r="F804" s="11"/>
    </row>
    <row r="805" spans="4:6">
      <c r="D805" s="15"/>
      <c r="F805" s="11"/>
    </row>
    <row r="806" spans="4:6">
      <c r="D806" s="15"/>
      <c r="F806" s="11"/>
    </row>
    <row r="807" spans="4:6">
      <c r="D807" s="15"/>
      <c r="F807" s="11"/>
    </row>
    <row r="808" spans="4:6">
      <c r="D808" s="15"/>
      <c r="F808" s="11"/>
    </row>
    <row r="809" spans="4:6">
      <c r="D809" s="15"/>
      <c r="F809" s="11"/>
    </row>
    <row r="810" spans="4:6">
      <c r="D810" s="15"/>
      <c r="F810" s="11"/>
    </row>
    <row r="811" spans="4:6">
      <c r="D811" s="15"/>
      <c r="F811" s="11"/>
    </row>
    <row r="812" spans="4:6">
      <c r="D812" s="15"/>
      <c r="F812" s="11"/>
    </row>
    <row r="813" spans="4:6">
      <c r="D813" s="15"/>
      <c r="F813" s="11"/>
    </row>
    <row r="814" spans="4:6">
      <c r="D814" s="15"/>
      <c r="F814" s="11"/>
    </row>
    <row r="815" spans="4:6">
      <c r="D815" s="15"/>
      <c r="F815" s="11"/>
    </row>
    <row r="816" spans="4:6">
      <c r="D816" s="15"/>
      <c r="F816" s="11"/>
    </row>
    <row r="817" spans="4:6">
      <c r="D817" s="15"/>
      <c r="F817" s="11"/>
    </row>
    <row r="818" spans="4:6">
      <c r="D818" s="15"/>
      <c r="F818" s="11"/>
    </row>
    <row r="819" spans="4:6">
      <c r="D819" s="15"/>
      <c r="F819" s="11"/>
    </row>
    <row r="820" spans="4:6">
      <c r="D820" s="15"/>
      <c r="F820" s="11"/>
    </row>
    <row r="821" spans="4:6">
      <c r="D821" s="15"/>
      <c r="F821" s="11"/>
    </row>
    <row r="822" spans="4:6">
      <c r="D822" s="15"/>
      <c r="F822" s="11"/>
    </row>
    <row r="823" spans="4:6">
      <c r="D823" s="15"/>
      <c r="F823" s="11"/>
    </row>
    <row r="824" spans="4:6">
      <c r="D824" s="15"/>
      <c r="F824" s="11"/>
    </row>
    <row r="825" spans="4:6">
      <c r="D825" s="15"/>
      <c r="F825" s="11"/>
    </row>
    <row r="826" spans="4:6">
      <c r="D826" s="15"/>
      <c r="F826" s="11"/>
    </row>
    <row r="827" spans="4:6">
      <c r="D827" s="15"/>
      <c r="F827" s="11"/>
    </row>
    <row r="828" spans="4:6">
      <c r="D828" s="15"/>
      <c r="F828" s="11"/>
    </row>
    <row r="829" spans="4:6">
      <c r="D829" s="15"/>
      <c r="F829" s="11"/>
    </row>
    <row r="830" spans="4:6">
      <c r="D830" s="15"/>
      <c r="F830" s="11"/>
    </row>
    <row r="831" spans="4:6">
      <c r="D831" s="15"/>
      <c r="F831" s="11"/>
    </row>
    <row r="832" spans="4:6">
      <c r="D832" s="15"/>
      <c r="F832" s="11"/>
    </row>
    <row r="833" spans="4:6">
      <c r="D833" s="15"/>
      <c r="F833" s="11"/>
    </row>
    <row r="834" spans="4:6">
      <c r="D834" s="15"/>
      <c r="F834" s="11"/>
    </row>
    <row r="835" spans="4:6">
      <c r="D835" s="15"/>
      <c r="F835" s="11"/>
    </row>
    <row r="836" spans="4:6">
      <c r="D836" s="15"/>
      <c r="F836" s="11"/>
    </row>
    <row r="837" spans="4:6">
      <c r="D837" s="15"/>
      <c r="F837" s="11"/>
    </row>
    <row r="838" spans="4:6">
      <c r="D838" s="15"/>
      <c r="F838" s="11"/>
    </row>
    <row r="839" spans="4:6">
      <c r="D839" s="15"/>
      <c r="F839" s="11"/>
    </row>
    <row r="840" spans="4:6">
      <c r="D840" s="15"/>
      <c r="F840" s="11"/>
    </row>
    <row r="841" spans="4:6">
      <c r="D841" s="15"/>
      <c r="F841" s="11"/>
    </row>
    <row r="842" spans="4:6">
      <c r="D842" s="15"/>
      <c r="F842" s="11"/>
    </row>
    <row r="843" spans="4:6">
      <c r="D843" s="15"/>
      <c r="F843" s="11"/>
    </row>
    <row r="844" spans="4:6">
      <c r="D844" s="15"/>
      <c r="F844" s="11"/>
    </row>
    <row r="845" spans="4:6">
      <c r="D845" s="15"/>
      <c r="F845" s="11"/>
    </row>
    <row r="846" spans="4:6">
      <c r="D846" s="15"/>
      <c r="F846" s="11"/>
    </row>
    <row r="847" spans="4:6">
      <c r="D847" s="15"/>
      <c r="F847" s="11"/>
    </row>
    <row r="848" spans="4:6">
      <c r="D848" s="15"/>
      <c r="F848" s="11"/>
    </row>
    <row r="849" spans="4:6">
      <c r="D849" s="15"/>
      <c r="F849" s="11"/>
    </row>
    <row r="850" spans="4:6">
      <c r="D850" s="15"/>
      <c r="F850" s="11"/>
    </row>
    <row r="851" spans="4:6">
      <c r="D851" s="15"/>
      <c r="F851" s="11"/>
    </row>
    <row r="852" spans="4:6">
      <c r="D852" s="15"/>
      <c r="F852" s="11"/>
    </row>
    <row r="853" spans="4:6">
      <c r="D853" s="15"/>
      <c r="F853" s="11"/>
    </row>
    <row r="854" spans="4:6">
      <c r="D854" s="15"/>
      <c r="F854" s="11"/>
    </row>
    <row r="855" spans="4:6">
      <c r="D855" s="15"/>
      <c r="F855" s="11"/>
    </row>
    <row r="856" spans="4:6">
      <c r="D856" s="15"/>
      <c r="F856" s="11"/>
    </row>
    <row r="857" spans="4:6">
      <c r="D857" s="15"/>
      <c r="F857" s="11"/>
    </row>
    <row r="858" spans="4:6">
      <c r="D858" s="15"/>
      <c r="F858" s="11"/>
    </row>
    <row r="859" spans="4:6">
      <c r="D859" s="15"/>
      <c r="F859" s="11"/>
    </row>
    <row r="860" spans="4:6">
      <c r="D860" s="15"/>
      <c r="F860" s="11"/>
    </row>
    <row r="861" spans="4:6">
      <c r="D861" s="15"/>
      <c r="F861" s="11"/>
    </row>
    <row r="862" spans="4:6">
      <c r="D862" s="15"/>
      <c r="F862" s="11"/>
    </row>
    <row r="863" spans="4:6">
      <c r="D863" s="15"/>
      <c r="F863" s="11"/>
    </row>
    <row r="864" spans="4:6">
      <c r="D864" s="15"/>
      <c r="F864" s="11"/>
    </row>
    <row r="865" spans="4:6">
      <c r="D865" s="15"/>
      <c r="F865" s="11"/>
    </row>
    <row r="866" spans="4:6">
      <c r="D866" s="15"/>
      <c r="F866" s="11"/>
    </row>
    <row r="867" spans="4:6">
      <c r="D867" s="15"/>
      <c r="F867" s="11"/>
    </row>
    <row r="868" spans="4:6">
      <c r="D868" s="15"/>
      <c r="F868" s="11"/>
    </row>
    <row r="869" spans="4:6">
      <c r="D869" s="15"/>
      <c r="F869" s="11"/>
    </row>
    <row r="870" spans="4:6">
      <c r="D870" s="15"/>
      <c r="F870" s="11"/>
    </row>
    <row r="871" spans="4:6">
      <c r="D871" s="15"/>
      <c r="F871" s="11"/>
    </row>
    <row r="872" spans="4:6">
      <c r="D872" s="15"/>
      <c r="F872" s="11"/>
    </row>
    <row r="873" spans="4:6">
      <c r="D873" s="15"/>
      <c r="F873" s="11"/>
    </row>
    <row r="874" spans="4:6">
      <c r="D874" s="15"/>
      <c r="F874" s="11"/>
    </row>
    <row r="875" spans="4:6">
      <c r="D875" s="15"/>
      <c r="F875" s="11"/>
    </row>
    <row r="876" spans="4:6">
      <c r="D876" s="15"/>
      <c r="F876" s="11"/>
    </row>
    <row r="877" spans="4:6">
      <c r="D877" s="15"/>
      <c r="F877" s="11"/>
    </row>
    <row r="878" spans="4:6">
      <c r="D878" s="15"/>
      <c r="F878" s="11"/>
    </row>
    <row r="879" spans="4:6">
      <c r="D879" s="15"/>
      <c r="F879" s="11"/>
    </row>
    <row r="880" spans="4:6">
      <c r="D880" s="15"/>
      <c r="F880" s="11"/>
    </row>
    <row r="881" spans="4:6">
      <c r="D881" s="15"/>
      <c r="F881" s="11"/>
    </row>
    <row r="882" spans="4:6">
      <c r="D882" s="15"/>
      <c r="F882" s="11"/>
    </row>
    <row r="883" spans="4:6">
      <c r="D883" s="15"/>
      <c r="F883" s="11"/>
    </row>
    <row r="884" spans="4:6">
      <c r="D884" s="15"/>
      <c r="F884" s="11"/>
    </row>
    <row r="885" spans="4:6">
      <c r="D885" s="15"/>
      <c r="F885" s="11"/>
    </row>
    <row r="886" spans="4:6">
      <c r="D886" s="15"/>
      <c r="F886" s="11"/>
    </row>
    <row r="887" spans="4:6">
      <c r="D887" s="15"/>
      <c r="F887" s="11"/>
    </row>
    <row r="888" spans="4:6">
      <c r="D888" s="15"/>
      <c r="F888" s="11"/>
    </row>
    <row r="889" spans="4:6">
      <c r="D889" s="15"/>
      <c r="F889" s="11"/>
    </row>
    <row r="890" spans="4:6">
      <c r="D890" s="15"/>
      <c r="F890" s="11"/>
    </row>
    <row r="891" spans="4:6">
      <c r="D891" s="15"/>
      <c r="F891" s="11"/>
    </row>
    <row r="892" spans="4:6">
      <c r="D892" s="15"/>
      <c r="F892" s="11"/>
    </row>
    <row r="893" spans="4:6">
      <c r="D893" s="15"/>
      <c r="F893" s="11"/>
    </row>
    <row r="894" spans="4:6">
      <c r="D894" s="15"/>
      <c r="F894" s="11"/>
    </row>
    <row r="895" spans="4:6">
      <c r="D895" s="15"/>
      <c r="F895" s="11"/>
    </row>
    <row r="896" spans="4:6">
      <c r="D896" s="15"/>
      <c r="F896" s="11"/>
    </row>
    <row r="897" spans="4:6">
      <c r="D897" s="15"/>
      <c r="F897" s="11"/>
    </row>
    <row r="898" spans="4:6">
      <c r="D898" s="15"/>
      <c r="F898" s="11"/>
    </row>
    <row r="899" spans="4:6">
      <c r="D899" s="15"/>
      <c r="F899" s="11"/>
    </row>
    <row r="900" spans="4:6">
      <c r="D900" s="15"/>
      <c r="F900" s="11"/>
    </row>
    <row r="901" spans="4:6">
      <c r="D901" s="15"/>
      <c r="F901" s="11"/>
    </row>
    <row r="902" spans="4:6">
      <c r="D902" s="15"/>
      <c r="F902" s="11"/>
    </row>
    <row r="903" spans="4:6">
      <c r="D903" s="15"/>
      <c r="F903" s="11"/>
    </row>
    <row r="904" spans="4:6">
      <c r="D904" s="15"/>
      <c r="F904" s="11"/>
    </row>
    <row r="905" spans="4:6">
      <c r="D905" s="15"/>
      <c r="F905" s="11"/>
    </row>
    <row r="906" spans="4:6">
      <c r="D906" s="15"/>
      <c r="F906" s="11"/>
    </row>
    <row r="907" spans="4:6">
      <c r="D907" s="15"/>
      <c r="F907" s="11"/>
    </row>
    <row r="908" spans="4:6">
      <c r="D908" s="15"/>
      <c r="F908" s="11"/>
    </row>
    <row r="909" spans="4:6">
      <c r="D909" s="15"/>
      <c r="F909" s="11"/>
    </row>
    <row r="910" spans="4:6">
      <c r="D910" s="15"/>
      <c r="F910" s="11"/>
    </row>
    <row r="911" spans="4:6">
      <c r="D911" s="15"/>
      <c r="F911" s="11"/>
    </row>
    <row r="912" spans="4:6">
      <c r="D912" s="15"/>
      <c r="F912" s="11"/>
    </row>
    <row r="913" spans="4:6">
      <c r="D913" s="15"/>
      <c r="F913" s="11"/>
    </row>
    <row r="914" spans="4:6">
      <c r="D914" s="15"/>
      <c r="F914" s="11"/>
    </row>
    <row r="915" spans="4:6">
      <c r="D915" s="15"/>
      <c r="F915" s="11"/>
    </row>
    <row r="916" spans="4:6">
      <c r="D916" s="15"/>
      <c r="F916" s="11"/>
    </row>
    <row r="917" spans="4:6">
      <c r="D917" s="15"/>
      <c r="F917" s="11"/>
    </row>
    <row r="918" spans="4:6">
      <c r="D918" s="15"/>
      <c r="F918" s="11"/>
    </row>
    <row r="919" spans="4:6">
      <c r="D919" s="15"/>
      <c r="F919" s="11"/>
    </row>
    <row r="920" spans="4:6">
      <c r="D920" s="15"/>
      <c r="F920" s="11"/>
    </row>
    <row r="921" spans="4:6">
      <c r="D921" s="15"/>
      <c r="F921" s="11"/>
    </row>
    <row r="922" spans="4:6">
      <c r="D922" s="15"/>
      <c r="F922" s="11"/>
    </row>
    <row r="923" spans="4:6">
      <c r="D923" s="15"/>
      <c r="F923" s="11"/>
    </row>
    <row r="924" spans="4:6">
      <c r="D924" s="15"/>
      <c r="F924" s="11"/>
    </row>
    <row r="925" spans="4:6">
      <c r="D925" s="15"/>
      <c r="F925" s="11"/>
    </row>
    <row r="926" spans="4:6">
      <c r="D926" s="15"/>
      <c r="F926" s="11"/>
    </row>
    <row r="927" spans="4:6">
      <c r="D927" s="15"/>
      <c r="F927" s="11"/>
    </row>
    <row r="928" spans="4:6">
      <c r="D928" s="15"/>
      <c r="F928" s="11"/>
    </row>
    <row r="929" spans="4:6">
      <c r="D929" s="15"/>
      <c r="F929" s="11"/>
    </row>
    <row r="930" spans="4:6">
      <c r="D930" s="15"/>
      <c r="F930" s="11"/>
    </row>
    <row r="931" spans="4:6">
      <c r="D931" s="15"/>
      <c r="F931" s="11"/>
    </row>
    <row r="932" spans="4:6">
      <c r="D932" s="15"/>
      <c r="F932" s="11"/>
    </row>
    <row r="933" spans="4:6">
      <c r="D933" s="15"/>
      <c r="F933" s="11"/>
    </row>
    <row r="934" spans="4:6">
      <c r="D934" s="15"/>
      <c r="F934" s="11"/>
    </row>
    <row r="935" spans="4:6">
      <c r="D935" s="15"/>
      <c r="F935" s="11"/>
    </row>
    <row r="936" spans="4:6">
      <c r="D936" s="15"/>
      <c r="F936" s="11"/>
    </row>
    <row r="937" spans="4:6">
      <c r="D937" s="15"/>
      <c r="F937" s="11"/>
    </row>
    <row r="938" spans="4:6">
      <c r="D938" s="15"/>
      <c r="F938" s="11"/>
    </row>
    <row r="939" spans="4:6">
      <c r="D939" s="15"/>
      <c r="F939" s="11"/>
    </row>
    <row r="940" spans="4:6">
      <c r="D940" s="15"/>
      <c r="F940" s="11"/>
    </row>
    <row r="941" spans="4:6">
      <c r="D941" s="15"/>
      <c r="F941" s="11"/>
    </row>
    <row r="942" spans="4:6">
      <c r="D942" s="15"/>
      <c r="F942" s="11"/>
    </row>
    <row r="943" spans="4:6">
      <c r="D943" s="15"/>
      <c r="F943" s="11"/>
    </row>
    <row r="944" spans="4:6">
      <c r="D944" s="15"/>
      <c r="F944" s="11"/>
    </row>
    <row r="945" spans="4:6">
      <c r="D945" s="15"/>
      <c r="F945" s="11"/>
    </row>
    <row r="946" spans="4:6">
      <c r="D946" s="15"/>
      <c r="F946" s="11"/>
    </row>
    <row r="947" spans="4:6">
      <c r="D947" s="15"/>
      <c r="F947" s="11"/>
    </row>
    <row r="948" spans="4:6">
      <c r="D948" s="15"/>
      <c r="F948" s="11"/>
    </row>
    <row r="949" spans="4:6">
      <c r="D949" s="15"/>
      <c r="F949" s="11"/>
    </row>
    <row r="950" spans="4:6">
      <c r="D950" s="15"/>
      <c r="F950" s="11"/>
    </row>
    <row r="951" spans="4:6">
      <c r="D951" s="15"/>
      <c r="F951" s="11"/>
    </row>
    <row r="952" spans="4:6">
      <c r="D952" s="15"/>
      <c r="F952" s="11"/>
    </row>
    <row r="953" spans="4:6">
      <c r="D953" s="15"/>
      <c r="F953" s="11"/>
    </row>
    <row r="954" spans="4:6">
      <c r="D954" s="15"/>
      <c r="F954" s="11"/>
    </row>
    <row r="955" spans="4:6">
      <c r="D955" s="15"/>
      <c r="F955" s="11"/>
    </row>
    <row r="956" spans="4:6">
      <c r="D956" s="15"/>
      <c r="F956" s="11"/>
    </row>
    <row r="957" spans="4:6">
      <c r="D957" s="15"/>
      <c r="F957" s="11"/>
    </row>
    <row r="958" spans="4:6">
      <c r="D958" s="15"/>
      <c r="F958" s="11"/>
    </row>
    <row r="959" spans="4:6">
      <c r="D959" s="15"/>
      <c r="F959" s="11"/>
    </row>
    <row r="960" spans="4:6">
      <c r="D960" s="15"/>
      <c r="F960" s="11"/>
    </row>
    <row r="961" spans="4:6">
      <c r="D961" s="15"/>
      <c r="F961" s="11"/>
    </row>
    <row r="962" spans="4:6">
      <c r="D962" s="15"/>
      <c r="F962" s="11"/>
    </row>
    <row r="963" spans="4:6">
      <c r="D963" s="15"/>
      <c r="F963" s="11"/>
    </row>
    <row r="964" spans="4:6">
      <c r="D964" s="15"/>
      <c r="F964" s="11"/>
    </row>
    <row r="965" spans="4:6">
      <c r="D965" s="15"/>
      <c r="F965" s="11"/>
    </row>
    <row r="966" spans="4:6">
      <c r="D966" s="15"/>
      <c r="F966" s="11"/>
    </row>
    <row r="967" spans="4:6">
      <c r="D967" s="15"/>
      <c r="F967" s="11"/>
    </row>
    <row r="968" spans="4:6">
      <c r="D968" s="15"/>
      <c r="F968" s="11"/>
    </row>
    <row r="969" spans="4:6">
      <c r="D969" s="15"/>
      <c r="F969" s="11"/>
    </row>
    <row r="970" spans="4:6">
      <c r="D970" s="15"/>
      <c r="F970" s="11"/>
    </row>
    <row r="971" spans="4:6">
      <c r="D971" s="15"/>
      <c r="F971" s="11"/>
    </row>
    <row r="972" spans="4:6">
      <c r="D972" s="15"/>
      <c r="F972" s="11"/>
    </row>
    <row r="973" spans="4:6">
      <c r="D973" s="15"/>
      <c r="F973" s="11"/>
    </row>
    <row r="974" spans="4:6">
      <c r="D974" s="15"/>
      <c r="F974" s="11"/>
    </row>
    <row r="975" spans="4:6">
      <c r="D975" s="15"/>
      <c r="F975" s="11"/>
    </row>
    <row r="976" spans="4:6">
      <c r="D976" s="15"/>
      <c r="F976" s="11"/>
    </row>
    <row r="977" spans="4:6">
      <c r="D977" s="15"/>
      <c r="F977" s="11"/>
    </row>
    <row r="978" spans="4:6">
      <c r="D978" s="15"/>
      <c r="F978" s="11"/>
    </row>
    <row r="979" spans="4:6">
      <c r="D979" s="15"/>
      <c r="F979" s="11"/>
    </row>
    <row r="980" spans="4:6">
      <c r="D980" s="15"/>
      <c r="F980" s="11"/>
    </row>
    <row r="981" spans="4:6">
      <c r="D981" s="15"/>
      <c r="F981" s="11"/>
    </row>
    <row r="982" spans="4:6">
      <c r="D982" s="15"/>
      <c r="F982" s="11"/>
    </row>
    <row r="983" spans="4:6">
      <c r="D983" s="15"/>
      <c r="F983" s="11"/>
    </row>
    <row r="984" spans="4:6">
      <c r="D984" s="15"/>
      <c r="F984" s="11"/>
    </row>
    <row r="985" spans="4:6">
      <c r="D985" s="15"/>
      <c r="F985" s="11"/>
    </row>
    <row r="986" spans="4:6">
      <c r="D986" s="15"/>
      <c r="F986" s="11"/>
    </row>
    <row r="987" spans="4:6">
      <c r="D987" s="15"/>
      <c r="F987" s="11"/>
    </row>
    <row r="988" spans="4:6">
      <c r="D988" s="15"/>
      <c r="F988" s="11"/>
    </row>
    <row r="989" spans="4:6">
      <c r="D989" s="15"/>
      <c r="F989" s="11"/>
    </row>
    <row r="990" spans="4:6">
      <c r="D990" s="15"/>
      <c r="F990" s="11"/>
    </row>
    <row r="991" spans="4:6">
      <c r="D991" s="15"/>
      <c r="F991" s="11"/>
    </row>
    <row r="992" spans="4:6">
      <c r="D992" s="15"/>
      <c r="F992" s="11"/>
    </row>
    <row r="993" spans="4:6">
      <c r="D993" s="15"/>
      <c r="F993" s="11"/>
    </row>
    <row r="994" spans="4:6">
      <c r="D994" s="15"/>
      <c r="F994" s="11"/>
    </row>
    <row r="995" spans="4:6">
      <c r="D995" s="15"/>
      <c r="F995" s="11"/>
    </row>
    <row r="996" spans="4:6">
      <c r="D996" s="15"/>
      <c r="F996" s="11"/>
    </row>
    <row r="997" spans="4:6">
      <c r="D997" s="15"/>
      <c r="F997" s="11"/>
    </row>
    <row r="998" spans="4:6">
      <c r="D998" s="15"/>
      <c r="F998" s="11"/>
    </row>
    <row r="999" spans="4:6">
      <c r="D999" s="15"/>
      <c r="F999" s="11"/>
    </row>
    <row r="1000" spans="4:6">
      <c r="D1000" s="15"/>
      <c r="F1000" s="11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1000"/>
  <sheetViews>
    <sheetView workbookViewId="0">
      <selection activeCell="N11" sqref="N11"/>
    </sheetView>
  </sheetViews>
  <sheetFormatPr defaultColWidth="14.42578125" defaultRowHeight="15.75" customHeight="1"/>
  <sheetData>
    <row r="1" spans="1:15">
      <c r="A1" s="4" t="s">
        <v>0</v>
      </c>
      <c r="B1" s="4" t="s">
        <v>20</v>
      </c>
      <c r="C1" s="4" t="s">
        <v>2</v>
      </c>
      <c r="D1" s="5" t="s">
        <v>3</v>
      </c>
      <c r="E1" s="4" t="s">
        <v>4</v>
      </c>
      <c r="F1" s="2" t="s">
        <v>5</v>
      </c>
      <c r="G1" s="4" t="s">
        <v>24</v>
      </c>
      <c r="I1" t="s">
        <v>0</v>
      </c>
      <c r="J1" t="s">
        <v>20</v>
      </c>
      <c r="K1" t="s">
        <v>2</v>
      </c>
      <c r="L1" t="s">
        <v>3</v>
      </c>
      <c r="M1" t="s">
        <v>4</v>
      </c>
      <c r="N1" t="s">
        <v>5</v>
      </c>
      <c r="O1" t="s">
        <v>24</v>
      </c>
    </row>
    <row r="2" spans="1:15">
      <c r="A2" s="7">
        <v>0.3502777777777778</v>
      </c>
      <c r="B2" s="4" t="s">
        <v>21</v>
      </c>
      <c r="C2" s="4" t="s">
        <v>8</v>
      </c>
      <c r="D2" s="9">
        <v>74531</v>
      </c>
      <c r="E2" s="12">
        <v>1</v>
      </c>
      <c r="F2" s="13">
        <f t="shared" ref="F2:F430" si="0">IF(C2="Продажа",D2*E2,-D2*E2)</f>
        <v>-74531</v>
      </c>
      <c r="G2" s="21">
        <v>44273</v>
      </c>
      <c r="I2" s="24">
        <v>0.33624999999999999</v>
      </c>
      <c r="J2" t="s">
        <v>25</v>
      </c>
      <c r="K2" t="s">
        <v>7</v>
      </c>
      <c r="L2">
        <v>26.47</v>
      </c>
      <c r="M2">
        <v>376</v>
      </c>
      <c r="N2">
        <f>IF(K2="Продажа",L2*M2,-L2*M2)</f>
        <v>9952.7199999999993</v>
      </c>
      <c r="O2" s="25">
        <v>44273</v>
      </c>
    </row>
    <row r="3" spans="1:15">
      <c r="A3" s="7">
        <v>0.3502777777777778</v>
      </c>
      <c r="B3" s="4" t="s">
        <v>21</v>
      </c>
      <c r="C3" s="4" t="s">
        <v>8</v>
      </c>
      <c r="D3" s="9">
        <v>74531</v>
      </c>
      <c r="E3" s="12">
        <v>1</v>
      </c>
      <c r="F3" s="13">
        <f t="shared" si="0"/>
        <v>-74531</v>
      </c>
      <c r="G3" s="21">
        <v>44273</v>
      </c>
      <c r="I3" s="24">
        <v>0.33624999999999999</v>
      </c>
      <c r="J3" t="s">
        <v>25</v>
      </c>
      <c r="K3" t="s">
        <v>7</v>
      </c>
      <c r="L3">
        <v>26.47</v>
      </c>
      <c r="M3">
        <v>399</v>
      </c>
      <c r="N3">
        <f t="shared" ref="N3:N9" si="1">IF(K3="Продажа",L3*M3,-L3*M3)</f>
        <v>10561.529999999999</v>
      </c>
      <c r="O3" s="25">
        <v>44273</v>
      </c>
    </row>
    <row r="4" spans="1:15">
      <c r="A4" s="7">
        <v>0.3502777777777778</v>
      </c>
      <c r="B4" s="4" t="s">
        <v>23</v>
      </c>
      <c r="C4" s="4" t="s">
        <v>7</v>
      </c>
      <c r="D4" s="9">
        <v>73736</v>
      </c>
      <c r="E4" s="12">
        <v>2</v>
      </c>
      <c r="F4" s="13">
        <f t="shared" si="0"/>
        <v>147472</v>
      </c>
      <c r="G4" s="21">
        <v>44273</v>
      </c>
      <c r="I4" s="24">
        <v>0.3362384259259259</v>
      </c>
      <c r="J4" t="s">
        <v>25</v>
      </c>
      <c r="K4" t="s">
        <v>7</v>
      </c>
      <c r="L4">
        <v>26.48</v>
      </c>
      <c r="M4">
        <v>225</v>
      </c>
      <c r="N4">
        <f t="shared" si="1"/>
        <v>5958</v>
      </c>
      <c r="O4" s="25">
        <v>44273</v>
      </c>
    </row>
    <row r="5" spans="1:15">
      <c r="A5" s="7">
        <v>0.34988425925925926</v>
      </c>
      <c r="B5" s="4" t="s">
        <v>21</v>
      </c>
      <c r="C5" s="4" t="s">
        <v>8</v>
      </c>
      <c r="D5" s="9">
        <v>74536</v>
      </c>
      <c r="E5" s="12">
        <v>1</v>
      </c>
      <c r="F5" s="13">
        <f t="shared" si="0"/>
        <v>-74536</v>
      </c>
      <c r="G5" s="21">
        <v>44273</v>
      </c>
      <c r="I5" s="24">
        <v>0.33572916666666663</v>
      </c>
      <c r="J5" t="s">
        <v>25</v>
      </c>
      <c r="K5" t="s">
        <v>8</v>
      </c>
      <c r="L5">
        <v>26.5</v>
      </c>
      <c r="M5">
        <v>3</v>
      </c>
      <c r="N5">
        <f t="shared" si="1"/>
        <v>-79.5</v>
      </c>
      <c r="O5" s="25">
        <v>44273</v>
      </c>
    </row>
    <row r="6" spans="1:15">
      <c r="A6" s="7">
        <v>0.34988425925925926</v>
      </c>
      <c r="B6" s="4" t="s">
        <v>23</v>
      </c>
      <c r="C6" s="4" t="s">
        <v>7</v>
      </c>
      <c r="D6" s="9">
        <v>73741</v>
      </c>
      <c r="E6" s="12">
        <v>1</v>
      </c>
      <c r="F6" s="13">
        <f t="shared" si="0"/>
        <v>73741</v>
      </c>
      <c r="G6" s="21">
        <v>44273</v>
      </c>
      <c r="I6" s="24">
        <v>0.33572916666666663</v>
      </c>
      <c r="J6" t="s">
        <v>25</v>
      </c>
      <c r="K6" t="s">
        <v>8</v>
      </c>
      <c r="L6">
        <v>26.5</v>
      </c>
      <c r="M6">
        <v>50</v>
      </c>
      <c r="N6">
        <f t="shared" si="1"/>
        <v>-1325</v>
      </c>
      <c r="O6" s="25">
        <v>44273</v>
      </c>
    </row>
    <row r="7" spans="1:15">
      <c r="A7" s="7">
        <v>0.34980324074074076</v>
      </c>
      <c r="B7" s="4" t="s">
        <v>21</v>
      </c>
      <c r="C7" s="4" t="s">
        <v>8</v>
      </c>
      <c r="D7" s="9">
        <v>74536</v>
      </c>
      <c r="E7" s="12">
        <v>3</v>
      </c>
      <c r="F7" s="13">
        <f t="shared" si="0"/>
        <v>-223608</v>
      </c>
      <c r="G7" s="21">
        <v>44273</v>
      </c>
      <c r="I7" s="24">
        <v>0.33572916666666663</v>
      </c>
      <c r="J7" t="s">
        <v>25</v>
      </c>
      <c r="K7" t="s">
        <v>8</v>
      </c>
      <c r="L7">
        <v>26.5</v>
      </c>
      <c r="M7">
        <v>1</v>
      </c>
      <c r="N7">
        <f t="shared" si="1"/>
        <v>-26.5</v>
      </c>
      <c r="O7" s="25">
        <v>44273</v>
      </c>
    </row>
    <row r="8" spans="1:15">
      <c r="A8" s="7">
        <v>0.34980324074074076</v>
      </c>
      <c r="B8" s="4" t="s">
        <v>23</v>
      </c>
      <c r="C8" s="4" t="s">
        <v>7</v>
      </c>
      <c r="D8" s="9">
        <v>73741</v>
      </c>
      <c r="E8" s="12">
        <v>3</v>
      </c>
      <c r="F8" s="13">
        <f t="shared" si="0"/>
        <v>221223</v>
      </c>
      <c r="G8" s="21">
        <v>44273</v>
      </c>
      <c r="I8" s="24">
        <v>0.33572916666666663</v>
      </c>
      <c r="J8" t="s">
        <v>25</v>
      </c>
      <c r="K8" t="s">
        <v>8</v>
      </c>
      <c r="L8">
        <v>26.5</v>
      </c>
      <c r="M8">
        <v>4</v>
      </c>
      <c r="N8">
        <f t="shared" si="1"/>
        <v>-106</v>
      </c>
      <c r="O8" s="25">
        <v>44273</v>
      </c>
    </row>
    <row r="9" spans="1:15">
      <c r="A9" s="7">
        <v>0.34946759259259258</v>
      </c>
      <c r="B9" s="4" t="s">
        <v>21</v>
      </c>
      <c r="C9" s="4" t="s">
        <v>8</v>
      </c>
      <c r="D9" s="9">
        <v>74540</v>
      </c>
      <c r="E9" s="12">
        <v>1</v>
      </c>
      <c r="F9" s="13">
        <f t="shared" si="0"/>
        <v>-74540</v>
      </c>
      <c r="G9" s="21">
        <v>44273</v>
      </c>
      <c r="I9" s="24">
        <v>0.33342592592592596</v>
      </c>
      <c r="J9" t="s">
        <v>25</v>
      </c>
      <c r="K9" t="s">
        <v>8</v>
      </c>
      <c r="L9">
        <v>26.44</v>
      </c>
      <c r="M9">
        <v>942</v>
      </c>
      <c r="N9">
        <f t="shared" si="1"/>
        <v>-24906.48</v>
      </c>
      <c r="O9" s="25">
        <v>44273</v>
      </c>
    </row>
    <row r="10" spans="1:15">
      <c r="A10" s="7">
        <v>0.34946759259259258</v>
      </c>
      <c r="B10" s="4" t="s">
        <v>23</v>
      </c>
      <c r="C10" s="4" t="s">
        <v>7</v>
      </c>
      <c r="D10" s="9">
        <v>73741</v>
      </c>
      <c r="E10" s="12">
        <v>1</v>
      </c>
      <c r="F10" s="13">
        <f t="shared" si="0"/>
        <v>73741</v>
      </c>
      <c r="G10" s="21">
        <v>44273</v>
      </c>
      <c r="N10">
        <f>SUM(N2:N9)</f>
        <v>28.770000000000437</v>
      </c>
    </row>
    <row r="11" spans="1:15">
      <c r="A11" s="7">
        <v>0.34945601851851854</v>
      </c>
      <c r="B11" s="4" t="s">
        <v>21</v>
      </c>
      <c r="C11" s="4" t="s">
        <v>8</v>
      </c>
      <c r="D11" s="9">
        <v>74541</v>
      </c>
      <c r="E11" s="12">
        <v>1</v>
      </c>
      <c r="F11" s="13">
        <f t="shared" si="0"/>
        <v>-74541</v>
      </c>
      <c r="G11" s="21">
        <v>44273</v>
      </c>
    </row>
    <row r="12" spans="1:15">
      <c r="A12" s="7">
        <v>0.34945601851851854</v>
      </c>
      <c r="B12" s="4" t="s">
        <v>21</v>
      </c>
      <c r="C12" s="4" t="s">
        <v>8</v>
      </c>
      <c r="D12" s="9">
        <v>74541</v>
      </c>
      <c r="E12" s="12">
        <v>1</v>
      </c>
      <c r="F12" s="13">
        <f t="shared" si="0"/>
        <v>-74541</v>
      </c>
      <c r="G12" s="21">
        <v>44273</v>
      </c>
    </row>
    <row r="13" spans="1:15">
      <c r="A13" s="7">
        <v>0.34945601851851854</v>
      </c>
      <c r="B13" s="4" t="s">
        <v>21</v>
      </c>
      <c r="C13" s="4" t="s">
        <v>8</v>
      </c>
      <c r="D13" s="9">
        <v>74541</v>
      </c>
      <c r="E13" s="12">
        <v>1</v>
      </c>
      <c r="F13" s="13">
        <f t="shared" si="0"/>
        <v>-74541</v>
      </c>
      <c r="G13" s="21">
        <v>44273</v>
      </c>
    </row>
    <row r="14" spans="1:15">
      <c r="A14" s="7">
        <v>0.34945601851851854</v>
      </c>
      <c r="B14" s="4" t="s">
        <v>23</v>
      </c>
      <c r="C14" s="4" t="s">
        <v>7</v>
      </c>
      <c r="D14" s="9">
        <v>73746</v>
      </c>
      <c r="E14" s="12">
        <v>3</v>
      </c>
      <c r="F14" s="13">
        <f t="shared" si="0"/>
        <v>221238</v>
      </c>
      <c r="G14" s="21">
        <v>44273</v>
      </c>
    </row>
    <row r="15" spans="1:15">
      <c r="A15" s="7">
        <v>0.34924768518518517</v>
      </c>
      <c r="B15" s="4" t="s">
        <v>21</v>
      </c>
      <c r="C15" s="4" t="s">
        <v>8</v>
      </c>
      <c r="D15" s="9">
        <v>74547</v>
      </c>
      <c r="E15" s="12">
        <v>1</v>
      </c>
      <c r="F15" s="13">
        <f t="shared" si="0"/>
        <v>-74547</v>
      </c>
      <c r="G15" s="21">
        <v>44273</v>
      </c>
    </row>
    <row r="16" spans="1:15">
      <c r="A16" s="7">
        <v>0.34924768518518517</v>
      </c>
      <c r="B16" s="4" t="s">
        <v>21</v>
      </c>
      <c r="C16" s="4" t="s">
        <v>8</v>
      </c>
      <c r="D16" s="9">
        <v>74547</v>
      </c>
      <c r="E16" s="12">
        <v>1</v>
      </c>
      <c r="F16" s="13">
        <f t="shared" si="0"/>
        <v>-74547</v>
      </c>
      <c r="G16" s="21">
        <v>44273</v>
      </c>
    </row>
    <row r="17" spans="1:7">
      <c r="A17" s="7">
        <v>0.34924768518518517</v>
      </c>
      <c r="B17" s="4" t="s">
        <v>21</v>
      </c>
      <c r="C17" s="4" t="s">
        <v>8</v>
      </c>
      <c r="D17" s="9">
        <v>74547</v>
      </c>
      <c r="E17" s="12">
        <v>1</v>
      </c>
      <c r="F17" s="13">
        <f t="shared" si="0"/>
        <v>-74547</v>
      </c>
      <c r="G17" s="21">
        <v>44273</v>
      </c>
    </row>
    <row r="18" spans="1:7">
      <c r="A18" s="7">
        <v>0.34924768518518517</v>
      </c>
      <c r="B18" s="4" t="s">
        <v>23</v>
      </c>
      <c r="C18" s="4" t="s">
        <v>7</v>
      </c>
      <c r="D18" s="9">
        <v>73750</v>
      </c>
      <c r="E18" s="12">
        <v>3</v>
      </c>
      <c r="F18" s="13">
        <f t="shared" si="0"/>
        <v>221250</v>
      </c>
      <c r="G18" s="21">
        <v>44273</v>
      </c>
    </row>
    <row r="19" spans="1:7">
      <c r="A19" s="7">
        <v>0.34924768518518517</v>
      </c>
      <c r="B19" s="4" t="s">
        <v>21</v>
      </c>
      <c r="C19" s="4" t="s">
        <v>8</v>
      </c>
      <c r="D19" s="9">
        <v>74548</v>
      </c>
      <c r="E19" s="12">
        <v>1</v>
      </c>
      <c r="F19" s="13">
        <f t="shared" si="0"/>
        <v>-74548</v>
      </c>
      <c r="G19" s="21">
        <v>44273</v>
      </c>
    </row>
    <row r="20" spans="1:7">
      <c r="A20" s="7">
        <v>0.34924768518518517</v>
      </c>
      <c r="B20" s="4" t="s">
        <v>23</v>
      </c>
      <c r="C20" s="4" t="s">
        <v>7</v>
      </c>
      <c r="D20" s="9">
        <v>73753</v>
      </c>
      <c r="E20" s="12">
        <v>1</v>
      </c>
      <c r="F20" s="13">
        <f t="shared" si="0"/>
        <v>73753</v>
      </c>
      <c r="G20" s="21">
        <v>44273</v>
      </c>
    </row>
    <row r="21" spans="1:7">
      <c r="A21" s="7">
        <v>0.34899305555555554</v>
      </c>
      <c r="B21" s="4" t="s">
        <v>21</v>
      </c>
      <c r="C21" s="4" t="s">
        <v>8</v>
      </c>
      <c r="D21" s="9">
        <v>74553</v>
      </c>
      <c r="E21" s="12">
        <v>1</v>
      </c>
      <c r="F21" s="13">
        <f t="shared" si="0"/>
        <v>-74553</v>
      </c>
      <c r="G21" s="21">
        <v>44273</v>
      </c>
    </row>
    <row r="22" spans="1:7">
      <c r="A22" s="7">
        <v>0.34899305555555554</v>
      </c>
      <c r="B22" s="4" t="s">
        <v>23</v>
      </c>
      <c r="C22" s="4" t="s">
        <v>7</v>
      </c>
      <c r="D22" s="9">
        <v>73758</v>
      </c>
      <c r="E22" s="12">
        <v>1</v>
      </c>
      <c r="F22" s="13">
        <f t="shared" si="0"/>
        <v>73758</v>
      </c>
      <c r="G22" s="21">
        <v>44273</v>
      </c>
    </row>
    <row r="23" spans="1:7">
      <c r="A23" s="7">
        <v>0.34881944444444446</v>
      </c>
      <c r="B23" s="4" t="s">
        <v>21</v>
      </c>
      <c r="C23" s="4" t="s">
        <v>8</v>
      </c>
      <c r="D23" s="9">
        <v>74563</v>
      </c>
      <c r="E23" s="12">
        <v>3</v>
      </c>
      <c r="F23" s="13">
        <f t="shared" si="0"/>
        <v>-223689</v>
      </c>
      <c r="G23" s="21">
        <v>44273</v>
      </c>
    </row>
    <row r="24" spans="1:7">
      <c r="A24" s="7">
        <v>0.34881944444444446</v>
      </c>
      <c r="B24" s="4" t="s">
        <v>23</v>
      </c>
      <c r="C24" s="4" t="s">
        <v>7</v>
      </c>
      <c r="D24" s="9">
        <v>73768</v>
      </c>
      <c r="E24" s="12">
        <v>3</v>
      </c>
      <c r="F24" s="13">
        <f t="shared" si="0"/>
        <v>221304</v>
      </c>
      <c r="G24" s="21">
        <v>44273</v>
      </c>
    </row>
    <row r="25" spans="1:7">
      <c r="A25" s="7">
        <v>0.34881944444444446</v>
      </c>
      <c r="B25" s="4" t="s">
        <v>21</v>
      </c>
      <c r="C25" s="4" t="s">
        <v>8</v>
      </c>
      <c r="D25" s="9">
        <v>74562</v>
      </c>
      <c r="E25" s="12">
        <v>3</v>
      </c>
      <c r="F25" s="13">
        <f t="shared" si="0"/>
        <v>-223686</v>
      </c>
      <c r="G25" s="21">
        <v>44273</v>
      </c>
    </row>
    <row r="26" spans="1:7">
      <c r="A26" s="7">
        <v>0.34881944444444446</v>
      </c>
      <c r="B26" s="4" t="s">
        <v>23</v>
      </c>
      <c r="C26" s="4" t="s">
        <v>7</v>
      </c>
      <c r="D26" s="9">
        <v>73764</v>
      </c>
      <c r="E26" s="12">
        <v>3</v>
      </c>
      <c r="F26" s="13">
        <f t="shared" si="0"/>
        <v>221292</v>
      </c>
      <c r="G26" s="21">
        <v>44273</v>
      </c>
    </row>
    <row r="27" spans="1:7">
      <c r="A27" s="7">
        <v>0.34881944444444446</v>
      </c>
      <c r="B27" s="4" t="s">
        <v>21</v>
      </c>
      <c r="C27" s="4" t="s">
        <v>8</v>
      </c>
      <c r="D27" s="9">
        <v>74559</v>
      </c>
      <c r="E27" s="12">
        <v>3</v>
      </c>
      <c r="F27" s="13">
        <f t="shared" si="0"/>
        <v>-223677</v>
      </c>
      <c r="G27" s="21">
        <v>44273</v>
      </c>
    </row>
    <row r="28" spans="1:7">
      <c r="A28" s="7">
        <v>0.34881944444444446</v>
      </c>
      <c r="B28" s="4" t="s">
        <v>23</v>
      </c>
      <c r="C28" s="4" t="s">
        <v>7</v>
      </c>
      <c r="D28" s="9">
        <v>73764</v>
      </c>
      <c r="E28" s="12">
        <v>3</v>
      </c>
      <c r="F28" s="13">
        <f t="shared" si="0"/>
        <v>221292</v>
      </c>
      <c r="G28" s="21">
        <v>44273</v>
      </c>
    </row>
    <row r="29" spans="1:7">
      <c r="A29" s="7">
        <v>0.34848379629629628</v>
      </c>
      <c r="B29" s="4" t="s">
        <v>21</v>
      </c>
      <c r="C29" s="4" t="s">
        <v>8</v>
      </c>
      <c r="D29" s="9">
        <v>74568</v>
      </c>
      <c r="E29" s="12">
        <v>1</v>
      </c>
      <c r="F29" s="13">
        <f t="shared" si="0"/>
        <v>-74568</v>
      </c>
      <c r="G29" s="21">
        <v>44273</v>
      </c>
    </row>
    <row r="30" spans="1:7">
      <c r="A30" s="7">
        <v>0.34848379629629628</v>
      </c>
      <c r="B30" s="4" t="s">
        <v>23</v>
      </c>
      <c r="C30" s="4" t="s">
        <v>7</v>
      </c>
      <c r="D30" s="9">
        <v>73773</v>
      </c>
      <c r="E30" s="12">
        <v>1</v>
      </c>
      <c r="F30" s="13">
        <f t="shared" si="0"/>
        <v>73773</v>
      </c>
      <c r="G30" s="21">
        <v>44273</v>
      </c>
    </row>
    <row r="31" spans="1:7">
      <c r="A31" s="7">
        <v>0.34839120370370369</v>
      </c>
      <c r="B31" s="4" t="s">
        <v>21</v>
      </c>
      <c r="C31" s="4" t="s">
        <v>8</v>
      </c>
      <c r="D31" s="9">
        <v>74569</v>
      </c>
      <c r="E31" s="12">
        <v>3</v>
      </c>
      <c r="F31" s="13">
        <f t="shared" si="0"/>
        <v>-223707</v>
      </c>
      <c r="G31" s="21">
        <v>44273</v>
      </c>
    </row>
    <row r="32" spans="1:7">
      <c r="A32" s="7">
        <v>0.34839120370370369</v>
      </c>
      <c r="B32" s="4" t="s">
        <v>23</v>
      </c>
      <c r="C32" s="4" t="s">
        <v>7</v>
      </c>
      <c r="D32" s="9">
        <v>73774</v>
      </c>
      <c r="E32" s="12">
        <v>3</v>
      </c>
      <c r="F32" s="13">
        <f t="shared" si="0"/>
        <v>221322</v>
      </c>
      <c r="G32" s="21">
        <v>44273</v>
      </c>
    </row>
    <row r="33" spans="1:7">
      <c r="A33" s="7">
        <v>0.34810185185185183</v>
      </c>
      <c r="B33" s="4" t="s">
        <v>21</v>
      </c>
      <c r="C33" s="4" t="s">
        <v>8</v>
      </c>
      <c r="D33" s="9">
        <v>74571</v>
      </c>
      <c r="E33" s="12">
        <v>1</v>
      </c>
      <c r="F33" s="13">
        <f t="shared" si="0"/>
        <v>-74571</v>
      </c>
      <c r="G33" s="21">
        <v>44273</v>
      </c>
    </row>
    <row r="34" spans="1:7">
      <c r="A34" s="7">
        <v>0.34810185185185183</v>
      </c>
      <c r="B34" s="4" t="s">
        <v>21</v>
      </c>
      <c r="C34" s="4" t="s">
        <v>8</v>
      </c>
      <c r="D34" s="9">
        <v>74571</v>
      </c>
      <c r="E34" s="12">
        <v>2</v>
      </c>
      <c r="F34" s="13">
        <f t="shared" si="0"/>
        <v>-149142</v>
      </c>
      <c r="G34" s="21">
        <v>44273</v>
      </c>
    </row>
    <row r="35" spans="1:7">
      <c r="A35" s="7">
        <v>0.34810185185185183</v>
      </c>
      <c r="B35" s="4" t="s">
        <v>23</v>
      </c>
      <c r="C35" s="4" t="s">
        <v>7</v>
      </c>
      <c r="D35" s="9">
        <v>73771</v>
      </c>
      <c r="E35" s="12">
        <v>1</v>
      </c>
      <c r="F35" s="13">
        <f t="shared" si="0"/>
        <v>73771</v>
      </c>
      <c r="G35" s="21">
        <v>44273</v>
      </c>
    </row>
    <row r="36" spans="1:7">
      <c r="A36" s="7">
        <v>0.34810185185185183</v>
      </c>
      <c r="B36" s="4" t="s">
        <v>23</v>
      </c>
      <c r="C36" s="4" t="s">
        <v>7</v>
      </c>
      <c r="D36" s="9">
        <v>73771</v>
      </c>
      <c r="E36" s="12">
        <v>2</v>
      </c>
      <c r="F36" s="13">
        <f t="shared" si="0"/>
        <v>147542</v>
      </c>
      <c r="G36" s="21">
        <v>44273</v>
      </c>
    </row>
    <row r="37" spans="1:7">
      <c r="A37" s="7">
        <v>0.34803240740740743</v>
      </c>
      <c r="B37" s="4" t="s">
        <v>21</v>
      </c>
      <c r="C37" s="4" t="s">
        <v>8</v>
      </c>
      <c r="D37" s="9">
        <v>74566</v>
      </c>
      <c r="E37" s="12">
        <v>1</v>
      </c>
      <c r="F37" s="13">
        <f t="shared" si="0"/>
        <v>-74566</v>
      </c>
      <c r="G37" s="21">
        <v>44273</v>
      </c>
    </row>
    <row r="38" spans="1:7">
      <c r="A38" s="7">
        <v>0.34803240740740743</v>
      </c>
      <c r="B38" s="4" t="s">
        <v>23</v>
      </c>
      <c r="C38" s="4" t="s">
        <v>7</v>
      </c>
      <c r="D38" s="9">
        <v>73771</v>
      </c>
      <c r="E38" s="12">
        <v>1</v>
      </c>
      <c r="F38" s="13">
        <f t="shared" si="0"/>
        <v>73771</v>
      </c>
      <c r="G38" s="21">
        <v>44273</v>
      </c>
    </row>
    <row r="39" spans="1:7">
      <c r="A39" s="7">
        <v>0.34795138888888888</v>
      </c>
      <c r="B39" s="4" t="s">
        <v>21</v>
      </c>
      <c r="C39" s="4" t="s">
        <v>8</v>
      </c>
      <c r="D39" s="9">
        <v>74570</v>
      </c>
      <c r="E39" s="12">
        <v>3</v>
      </c>
      <c r="F39" s="13">
        <f t="shared" si="0"/>
        <v>-223710</v>
      </c>
      <c r="G39" s="21">
        <v>44273</v>
      </c>
    </row>
    <row r="40" spans="1:7">
      <c r="A40" s="7">
        <v>0.34795138888888888</v>
      </c>
      <c r="B40" s="4" t="s">
        <v>23</v>
      </c>
      <c r="C40" s="4" t="s">
        <v>7</v>
      </c>
      <c r="D40" s="9">
        <v>73775</v>
      </c>
      <c r="E40" s="12">
        <v>3</v>
      </c>
      <c r="F40" s="13">
        <f t="shared" si="0"/>
        <v>221325</v>
      </c>
      <c r="G40" s="21">
        <v>44273</v>
      </c>
    </row>
    <row r="41" spans="1:7">
      <c r="A41" s="7">
        <v>0.34612268518518519</v>
      </c>
      <c r="B41" s="4" t="s">
        <v>21</v>
      </c>
      <c r="C41" s="4" t="s">
        <v>8</v>
      </c>
      <c r="D41" s="9">
        <v>74562</v>
      </c>
      <c r="E41" s="12">
        <v>1</v>
      </c>
      <c r="F41" s="13">
        <f t="shared" si="0"/>
        <v>-74562</v>
      </c>
      <c r="G41" s="21">
        <v>44273</v>
      </c>
    </row>
    <row r="42" spans="1:7">
      <c r="A42" s="7">
        <v>0.34612268518518519</v>
      </c>
      <c r="B42" s="4" t="s">
        <v>21</v>
      </c>
      <c r="C42" s="4" t="s">
        <v>8</v>
      </c>
      <c r="D42" s="9">
        <v>74562</v>
      </c>
      <c r="E42" s="12">
        <v>2</v>
      </c>
      <c r="F42" s="13">
        <f t="shared" si="0"/>
        <v>-149124</v>
      </c>
      <c r="G42" s="21">
        <v>44273</v>
      </c>
    </row>
    <row r="43" spans="1:7">
      <c r="A43" s="7">
        <v>0.34612268518518519</v>
      </c>
      <c r="B43" s="4" t="s">
        <v>23</v>
      </c>
      <c r="C43" s="4" t="s">
        <v>7</v>
      </c>
      <c r="D43" s="9">
        <v>73766</v>
      </c>
      <c r="E43" s="12">
        <v>3</v>
      </c>
      <c r="F43" s="13">
        <f t="shared" si="0"/>
        <v>221298</v>
      </c>
      <c r="G43" s="21">
        <v>44273</v>
      </c>
    </row>
    <row r="44" spans="1:7">
      <c r="A44" s="7">
        <v>0.34608796296296296</v>
      </c>
      <c r="B44" s="4" t="s">
        <v>21</v>
      </c>
      <c r="C44" s="4" t="s">
        <v>8</v>
      </c>
      <c r="D44" s="9">
        <v>74561</v>
      </c>
      <c r="E44" s="12">
        <v>1</v>
      </c>
      <c r="F44" s="13">
        <f t="shared" si="0"/>
        <v>-74561</v>
      </c>
      <c r="G44" s="21">
        <v>44273</v>
      </c>
    </row>
    <row r="45" spans="1:7">
      <c r="A45" s="7">
        <v>0.34608796296296296</v>
      </c>
      <c r="B45" s="4" t="s">
        <v>21</v>
      </c>
      <c r="C45" s="4" t="s">
        <v>8</v>
      </c>
      <c r="D45" s="9">
        <v>74561</v>
      </c>
      <c r="E45" s="12">
        <v>2</v>
      </c>
      <c r="F45" s="13">
        <f t="shared" si="0"/>
        <v>-149122</v>
      </c>
      <c r="G45" s="21">
        <v>44273</v>
      </c>
    </row>
    <row r="46" spans="1:7">
      <c r="A46" s="7">
        <v>0.34608796296296296</v>
      </c>
      <c r="B46" s="4" t="s">
        <v>23</v>
      </c>
      <c r="C46" s="4" t="s">
        <v>7</v>
      </c>
      <c r="D46" s="9">
        <v>73765</v>
      </c>
      <c r="E46" s="12">
        <v>3</v>
      </c>
      <c r="F46" s="13">
        <f t="shared" si="0"/>
        <v>221295</v>
      </c>
      <c r="G46" s="21">
        <v>44273</v>
      </c>
    </row>
    <row r="47" spans="1:7">
      <c r="A47" s="7">
        <v>0.34608796296296296</v>
      </c>
      <c r="B47" s="4" t="s">
        <v>21</v>
      </c>
      <c r="C47" s="4" t="s">
        <v>8</v>
      </c>
      <c r="D47" s="9">
        <v>74561</v>
      </c>
      <c r="E47" s="12">
        <v>1</v>
      </c>
      <c r="F47" s="13">
        <f t="shared" si="0"/>
        <v>-74561</v>
      </c>
      <c r="G47" s="21">
        <v>44273</v>
      </c>
    </row>
    <row r="48" spans="1:7">
      <c r="A48" s="7">
        <v>0.34608796296296296</v>
      </c>
      <c r="B48" s="4" t="s">
        <v>21</v>
      </c>
      <c r="C48" s="4" t="s">
        <v>8</v>
      </c>
      <c r="D48" s="9">
        <v>74561</v>
      </c>
      <c r="E48" s="12">
        <v>2</v>
      </c>
      <c r="F48" s="13">
        <f t="shared" si="0"/>
        <v>-149122</v>
      </c>
      <c r="G48" s="21">
        <v>44273</v>
      </c>
    </row>
    <row r="49" spans="1:7">
      <c r="A49" s="7">
        <v>0.34608796296296296</v>
      </c>
      <c r="B49" s="4" t="s">
        <v>23</v>
      </c>
      <c r="C49" s="4" t="s">
        <v>7</v>
      </c>
      <c r="D49" s="9">
        <v>73765</v>
      </c>
      <c r="E49" s="12">
        <v>3</v>
      </c>
      <c r="F49" s="13">
        <f t="shared" si="0"/>
        <v>221295</v>
      </c>
      <c r="G49" s="21">
        <v>44273</v>
      </c>
    </row>
    <row r="50" spans="1:7">
      <c r="A50" s="7">
        <v>0.34608796296296296</v>
      </c>
      <c r="B50" s="4" t="s">
        <v>21</v>
      </c>
      <c r="C50" s="4" t="s">
        <v>8</v>
      </c>
      <c r="D50" s="9">
        <v>74561</v>
      </c>
      <c r="E50" s="12">
        <v>1</v>
      </c>
      <c r="F50" s="13">
        <f t="shared" si="0"/>
        <v>-74561</v>
      </c>
      <c r="G50" s="21">
        <v>44273</v>
      </c>
    </row>
    <row r="51" spans="1:7">
      <c r="A51" s="7">
        <v>0.34608796296296296</v>
      </c>
      <c r="B51" s="4" t="s">
        <v>21</v>
      </c>
      <c r="C51" s="4" t="s">
        <v>8</v>
      </c>
      <c r="D51" s="9">
        <v>74561</v>
      </c>
      <c r="E51" s="12">
        <v>2</v>
      </c>
      <c r="F51" s="13">
        <f t="shared" si="0"/>
        <v>-149122</v>
      </c>
      <c r="G51" s="21">
        <v>44273</v>
      </c>
    </row>
    <row r="52" spans="1:7">
      <c r="A52" s="7">
        <v>0.34608796296296296</v>
      </c>
      <c r="B52" s="4" t="s">
        <v>23</v>
      </c>
      <c r="C52" s="4" t="s">
        <v>7</v>
      </c>
      <c r="D52" s="9">
        <v>73765</v>
      </c>
      <c r="E52" s="12">
        <v>3</v>
      </c>
      <c r="F52" s="13">
        <f t="shared" si="0"/>
        <v>221295</v>
      </c>
      <c r="G52" s="21">
        <v>44273</v>
      </c>
    </row>
    <row r="53" spans="1:7">
      <c r="A53" s="7">
        <v>0.34608796296296296</v>
      </c>
      <c r="B53" s="4" t="s">
        <v>21</v>
      </c>
      <c r="C53" s="4" t="s">
        <v>8</v>
      </c>
      <c r="D53" s="9">
        <v>74561</v>
      </c>
      <c r="E53" s="12">
        <v>1</v>
      </c>
      <c r="F53" s="13">
        <f t="shared" si="0"/>
        <v>-74561</v>
      </c>
      <c r="G53" s="21">
        <v>44273</v>
      </c>
    </row>
    <row r="54" spans="1:7">
      <c r="A54" s="7">
        <v>0.34608796296296296</v>
      </c>
      <c r="B54" s="4" t="s">
        <v>21</v>
      </c>
      <c r="C54" s="4" t="s">
        <v>8</v>
      </c>
      <c r="D54" s="9">
        <v>74561</v>
      </c>
      <c r="E54" s="12">
        <v>1</v>
      </c>
      <c r="F54" s="13">
        <f t="shared" si="0"/>
        <v>-74561</v>
      </c>
      <c r="G54" s="21">
        <v>44273</v>
      </c>
    </row>
    <row r="55" spans="1:7">
      <c r="A55" s="7">
        <v>0.34608796296296296</v>
      </c>
      <c r="B55" s="4" t="s">
        <v>21</v>
      </c>
      <c r="C55" s="4" t="s">
        <v>8</v>
      </c>
      <c r="D55" s="9">
        <v>74561</v>
      </c>
      <c r="E55" s="12">
        <v>1</v>
      </c>
      <c r="F55" s="13">
        <f t="shared" si="0"/>
        <v>-74561</v>
      </c>
      <c r="G55" s="21">
        <v>44273</v>
      </c>
    </row>
    <row r="56" spans="1:7">
      <c r="A56" s="7">
        <v>0.34608796296296296</v>
      </c>
      <c r="B56" s="4" t="s">
        <v>23</v>
      </c>
      <c r="C56" s="4" t="s">
        <v>7</v>
      </c>
      <c r="D56" s="9">
        <v>73765</v>
      </c>
      <c r="E56" s="12">
        <v>3</v>
      </c>
      <c r="F56" s="13">
        <f t="shared" si="0"/>
        <v>221295</v>
      </c>
      <c r="G56" s="21">
        <v>44273</v>
      </c>
    </row>
    <row r="57" spans="1:7">
      <c r="A57" s="7">
        <v>0.34608796296296296</v>
      </c>
      <c r="B57" s="4" t="s">
        <v>21</v>
      </c>
      <c r="C57" s="4" t="s">
        <v>8</v>
      </c>
      <c r="D57" s="9">
        <v>74561</v>
      </c>
      <c r="E57" s="12">
        <v>1</v>
      </c>
      <c r="F57" s="13">
        <f t="shared" si="0"/>
        <v>-74561</v>
      </c>
      <c r="G57" s="21">
        <v>44273</v>
      </c>
    </row>
    <row r="58" spans="1:7">
      <c r="A58" s="7">
        <v>0.34608796296296296</v>
      </c>
      <c r="B58" s="4" t="s">
        <v>21</v>
      </c>
      <c r="C58" s="4" t="s">
        <v>8</v>
      </c>
      <c r="D58" s="9">
        <v>74561</v>
      </c>
      <c r="E58" s="12">
        <v>2</v>
      </c>
      <c r="F58" s="13">
        <f t="shared" si="0"/>
        <v>-149122</v>
      </c>
      <c r="G58" s="21">
        <v>44273</v>
      </c>
    </row>
    <row r="59" spans="1:7">
      <c r="A59" s="7">
        <v>0.34608796296296296</v>
      </c>
      <c r="B59" s="4" t="s">
        <v>23</v>
      </c>
      <c r="C59" s="4" t="s">
        <v>7</v>
      </c>
      <c r="D59" s="9">
        <v>73765</v>
      </c>
      <c r="E59" s="12">
        <v>3</v>
      </c>
      <c r="F59" s="13">
        <f t="shared" si="0"/>
        <v>221295</v>
      </c>
      <c r="G59" s="21">
        <v>44273</v>
      </c>
    </row>
    <row r="60" spans="1:7">
      <c r="A60" s="7">
        <v>0.34607638888888886</v>
      </c>
      <c r="B60" s="4" t="s">
        <v>21</v>
      </c>
      <c r="C60" s="4" t="s">
        <v>8</v>
      </c>
      <c r="D60" s="9">
        <v>74561</v>
      </c>
      <c r="E60" s="12">
        <v>1</v>
      </c>
      <c r="F60" s="13">
        <f t="shared" si="0"/>
        <v>-74561</v>
      </c>
      <c r="G60" s="21">
        <v>44273</v>
      </c>
    </row>
    <row r="61" spans="1:7">
      <c r="A61" s="7">
        <v>0.34607638888888886</v>
      </c>
      <c r="B61" s="4" t="s">
        <v>21</v>
      </c>
      <c r="C61" s="4" t="s">
        <v>8</v>
      </c>
      <c r="D61" s="9">
        <v>74561</v>
      </c>
      <c r="E61" s="12">
        <v>2</v>
      </c>
      <c r="F61" s="13">
        <f t="shared" si="0"/>
        <v>-149122</v>
      </c>
      <c r="G61" s="21">
        <v>44273</v>
      </c>
    </row>
    <row r="62" spans="1:7">
      <c r="A62" s="7">
        <v>0.34607638888888886</v>
      </c>
      <c r="B62" s="4" t="s">
        <v>23</v>
      </c>
      <c r="C62" s="4" t="s">
        <v>7</v>
      </c>
      <c r="D62" s="9">
        <v>73765</v>
      </c>
      <c r="E62" s="12">
        <v>3</v>
      </c>
      <c r="F62" s="13">
        <f t="shared" si="0"/>
        <v>221295</v>
      </c>
      <c r="G62" s="21">
        <v>44273</v>
      </c>
    </row>
    <row r="63" spans="1:7">
      <c r="A63" s="7">
        <v>0.34607638888888886</v>
      </c>
      <c r="B63" s="4" t="s">
        <v>21</v>
      </c>
      <c r="C63" s="4" t="s">
        <v>8</v>
      </c>
      <c r="D63" s="9">
        <v>74561</v>
      </c>
      <c r="E63" s="12">
        <v>1</v>
      </c>
      <c r="F63" s="13">
        <f t="shared" si="0"/>
        <v>-74561</v>
      </c>
      <c r="G63" s="21">
        <v>44273</v>
      </c>
    </row>
    <row r="64" spans="1:7">
      <c r="A64" s="7">
        <v>0.34607638888888886</v>
      </c>
      <c r="B64" s="4" t="s">
        <v>21</v>
      </c>
      <c r="C64" s="4" t="s">
        <v>8</v>
      </c>
      <c r="D64" s="9">
        <v>74561</v>
      </c>
      <c r="E64" s="12">
        <v>1</v>
      </c>
      <c r="F64" s="13">
        <f t="shared" si="0"/>
        <v>-74561</v>
      </c>
      <c r="G64" s="21">
        <v>44273</v>
      </c>
    </row>
    <row r="65" spans="1:7">
      <c r="A65" s="7">
        <v>0.34607638888888886</v>
      </c>
      <c r="B65" s="4" t="s">
        <v>21</v>
      </c>
      <c r="C65" s="4" t="s">
        <v>8</v>
      </c>
      <c r="D65" s="9">
        <v>74561</v>
      </c>
      <c r="E65" s="12">
        <v>1</v>
      </c>
      <c r="F65" s="13">
        <f t="shared" si="0"/>
        <v>-74561</v>
      </c>
      <c r="G65" s="21">
        <v>44273</v>
      </c>
    </row>
    <row r="66" spans="1:7">
      <c r="A66" s="7">
        <v>0.34607638888888886</v>
      </c>
      <c r="B66" s="4" t="s">
        <v>23</v>
      </c>
      <c r="C66" s="4" t="s">
        <v>7</v>
      </c>
      <c r="D66" s="9">
        <v>73765</v>
      </c>
      <c r="E66" s="12">
        <v>3</v>
      </c>
      <c r="F66" s="13">
        <f t="shared" si="0"/>
        <v>221295</v>
      </c>
      <c r="G66" s="21">
        <v>44273</v>
      </c>
    </row>
    <row r="67" spans="1:7">
      <c r="A67" s="7">
        <v>0.34607638888888886</v>
      </c>
      <c r="B67" s="4" t="s">
        <v>21</v>
      </c>
      <c r="C67" s="4" t="s">
        <v>8</v>
      </c>
      <c r="D67" s="9">
        <v>74561</v>
      </c>
      <c r="E67" s="12">
        <v>1</v>
      </c>
      <c r="F67" s="13">
        <f t="shared" si="0"/>
        <v>-74561</v>
      </c>
      <c r="G67" s="21">
        <v>44273</v>
      </c>
    </row>
    <row r="68" spans="1:7">
      <c r="A68" s="7">
        <v>0.34607638888888886</v>
      </c>
      <c r="B68" s="4" t="s">
        <v>21</v>
      </c>
      <c r="C68" s="4" t="s">
        <v>8</v>
      </c>
      <c r="D68" s="9">
        <v>74561</v>
      </c>
      <c r="E68" s="12">
        <v>2</v>
      </c>
      <c r="F68" s="13">
        <f t="shared" si="0"/>
        <v>-149122</v>
      </c>
      <c r="G68" s="21">
        <v>44273</v>
      </c>
    </row>
    <row r="69" spans="1:7">
      <c r="A69" s="7">
        <v>0.34607638888888886</v>
      </c>
      <c r="B69" s="4" t="s">
        <v>23</v>
      </c>
      <c r="C69" s="4" t="s">
        <v>7</v>
      </c>
      <c r="D69" s="9">
        <v>73765</v>
      </c>
      <c r="E69" s="12">
        <v>3</v>
      </c>
      <c r="F69" s="13">
        <f t="shared" si="0"/>
        <v>221295</v>
      </c>
      <c r="G69" s="21">
        <v>44273</v>
      </c>
    </row>
    <row r="70" spans="1:7">
      <c r="A70" s="7">
        <v>0.34607638888888886</v>
      </c>
      <c r="B70" s="4" t="s">
        <v>21</v>
      </c>
      <c r="C70" s="4" t="s">
        <v>8</v>
      </c>
      <c r="D70" s="9">
        <v>74561</v>
      </c>
      <c r="E70" s="12">
        <v>1</v>
      </c>
      <c r="F70" s="13">
        <f t="shared" si="0"/>
        <v>-74561</v>
      </c>
      <c r="G70" s="21">
        <v>44273</v>
      </c>
    </row>
    <row r="71" spans="1:7">
      <c r="A71" s="7">
        <v>0.34607638888888886</v>
      </c>
      <c r="B71" s="4" t="s">
        <v>21</v>
      </c>
      <c r="C71" s="4" t="s">
        <v>8</v>
      </c>
      <c r="D71" s="9">
        <v>74561</v>
      </c>
      <c r="E71" s="12">
        <v>2</v>
      </c>
      <c r="F71" s="13">
        <f t="shared" si="0"/>
        <v>-149122</v>
      </c>
      <c r="G71" s="21">
        <v>44273</v>
      </c>
    </row>
    <row r="72" spans="1:7">
      <c r="A72" s="7">
        <v>0.34607638888888886</v>
      </c>
      <c r="B72" s="4" t="s">
        <v>23</v>
      </c>
      <c r="C72" s="4" t="s">
        <v>7</v>
      </c>
      <c r="D72" s="9">
        <v>73765</v>
      </c>
      <c r="E72" s="12">
        <v>3</v>
      </c>
      <c r="F72" s="13">
        <f t="shared" si="0"/>
        <v>221295</v>
      </c>
      <c r="G72" s="21">
        <v>44273</v>
      </c>
    </row>
    <row r="73" spans="1:7">
      <c r="A73" s="7">
        <v>0.34606481481481483</v>
      </c>
      <c r="B73" s="4" t="s">
        <v>21</v>
      </c>
      <c r="C73" s="4" t="s">
        <v>8</v>
      </c>
      <c r="D73" s="9">
        <v>74561</v>
      </c>
      <c r="E73" s="12">
        <v>1</v>
      </c>
      <c r="F73" s="13">
        <f t="shared" si="0"/>
        <v>-74561</v>
      </c>
      <c r="G73" s="21">
        <v>44273</v>
      </c>
    </row>
    <row r="74" spans="1:7">
      <c r="A74" s="7">
        <v>0.34606481481481483</v>
      </c>
      <c r="B74" s="4" t="s">
        <v>21</v>
      </c>
      <c r="C74" s="4" t="s">
        <v>8</v>
      </c>
      <c r="D74" s="9">
        <v>74561</v>
      </c>
      <c r="E74" s="12">
        <v>1</v>
      </c>
      <c r="F74" s="13">
        <f t="shared" si="0"/>
        <v>-74561</v>
      </c>
      <c r="G74" s="21">
        <v>44273</v>
      </c>
    </row>
    <row r="75" spans="1:7">
      <c r="A75" s="7">
        <v>0.34606481481481483</v>
      </c>
      <c r="B75" s="4" t="s">
        <v>21</v>
      </c>
      <c r="C75" s="4" t="s">
        <v>8</v>
      </c>
      <c r="D75" s="9">
        <v>74561</v>
      </c>
      <c r="E75" s="12">
        <v>1</v>
      </c>
      <c r="F75" s="13">
        <f t="shared" si="0"/>
        <v>-74561</v>
      </c>
      <c r="G75" s="21">
        <v>44273</v>
      </c>
    </row>
    <row r="76" spans="1:7">
      <c r="A76" s="7">
        <v>0.34606481481481483</v>
      </c>
      <c r="B76" s="4" t="s">
        <v>23</v>
      </c>
      <c r="C76" s="4" t="s">
        <v>7</v>
      </c>
      <c r="D76" s="9">
        <v>73765</v>
      </c>
      <c r="E76" s="12">
        <v>3</v>
      </c>
      <c r="F76" s="13">
        <f t="shared" si="0"/>
        <v>221295</v>
      </c>
      <c r="G76" s="21">
        <v>44273</v>
      </c>
    </row>
    <row r="77" spans="1:7">
      <c r="A77" s="7">
        <v>0.34605324074074073</v>
      </c>
      <c r="B77" s="4" t="s">
        <v>21</v>
      </c>
      <c r="C77" s="4" t="s">
        <v>8</v>
      </c>
      <c r="D77" s="9">
        <v>74561</v>
      </c>
      <c r="E77" s="12">
        <v>2</v>
      </c>
      <c r="F77" s="13">
        <f t="shared" si="0"/>
        <v>-149122</v>
      </c>
      <c r="G77" s="21">
        <v>44273</v>
      </c>
    </row>
    <row r="78" spans="1:7">
      <c r="A78" s="7">
        <v>0.34605324074074073</v>
      </c>
      <c r="B78" s="4" t="s">
        <v>21</v>
      </c>
      <c r="C78" s="4" t="s">
        <v>8</v>
      </c>
      <c r="D78" s="9">
        <v>74561</v>
      </c>
      <c r="E78" s="12">
        <v>1</v>
      </c>
      <c r="F78" s="13">
        <f t="shared" si="0"/>
        <v>-74561</v>
      </c>
      <c r="G78" s="21">
        <v>44273</v>
      </c>
    </row>
    <row r="79" spans="1:7">
      <c r="A79" s="7">
        <v>0.34605324074074073</v>
      </c>
      <c r="B79" s="4" t="s">
        <v>23</v>
      </c>
      <c r="C79" s="4" t="s">
        <v>7</v>
      </c>
      <c r="D79" s="9">
        <v>73765</v>
      </c>
      <c r="E79" s="12">
        <v>3</v>
      </c>
      <c r="F79" s="13">
        <f t="shared" si="0"/>
        <v>221295</v>
      </c>
      <c r="G79" s="21">
        <v>44273</v>
      </c>
    </row>
    <row r="80" spans="1:7">
      <c r="A80" s="7">
        <v>0.34604166666666669</v>
      </c>
      <c r="B80" s="4" t="s">
        <v>21</v>
      </c>
      <c r="C80" s="4" t="s">
        <v>8</v>
      </c>
      <c r="D80" s="9">
        <v>74561</v>
      </c>
      <c r="E80" s="12">
        <v>2</v>
      </c>
      <c r="F80" s="13">
        <f t="shared" si="0"/>
        <v>-149122</v>
      </c>
      <c r="G80" s="21">
        <v>44273</v>
      </c>
    </row>
    <row r="81" spans="1:7">
      <c r="A81" s="7">
        <v>0.34604166666666669</v>
      </c>
      <c r="B81" s="4" t="s">
        <v>21</v>
      </c>
      <c r="C81" s="4" t="s">
        <v>8</v>
      </c>
      <c r="D81" s="9">
        <v>74561</v>
      </c>
      <c r="E81" s="12">
        <v>1</v>
      </c>
      <c r="F81" s="13">
        <f t="shared" si="0"/>
        <v>-74561</v>
      </c>
      <c r="G81" s="21">
        <v>44273</v>
      </c>
    </row>
    <row r="82" spans="1:7">
      <c r="A82" s="7">
        <v>0.34604166666666669</v>
      </c>
      <c r="B82" s="4" t="s">
        <v>23</v>
      </c>
      <c r="C82" s="4" t="s">
        <v>7</v>
      </c>
      <c r="D82" s="9">
        <v>73765</v>
      </c>
      <c r="E82" s="12">
        <v>3</v>
      </c>
      <c r="F82" s="13">
        <f t="shared" si="0"/>
        <v>221295</v>
      </c>
      <c r="G82" s="21">
        <v>44273</v>
      </c>
    </row>
    <row r="83" spans="1:7">
      <c r="A83" s="7">
        <v>0.34604166666666669</v>
      </c>
      <c r="B83" s="4" t="s">
        <v>21</v>
      </c>
      <c r="C83" s="4" t="s">
        <v>8</v>
      </c>
      <c r="D83" s="9">
        <v>74561</v>
      </c>
      <c r="E83" s="12">
        <v>1</v>
      </c>
      <c r="F83" s="13">
        <f t="shared" si="0"/>
        <v>-74561</v>
      </c>
      <c r="G83" s="21">
        <v>44273</v>
      </c>
    </row>
    <row r="84" spans="1:7">
      <c r="A84" s="7">
        <v>0.34604166666666669</v>
      </c>
      <c r="B84" s="4" t="s">
        <v>21</v>
      </c>
      <c r="C84" s="4" t="s">
        <v>8</v>
      </c>
      <c r="D84" s="9">
        <v>74561</v>
      </c>
      <c r="E84" s="12">
        <v>2</v>
      </c>
      <c r="F84" s="13">
        <f t="shared" si="0"/>
        <v>-149122</v>
      </c>
      <c r="G84" s="21">
        <v>44273</v>
      </c>
    </row>
    <row r="85" spans="1:7">
      <c r="A85" s="7">
        <v>0.34604166666666669</v>
      </c>
      <c r="B85" s="4" t="s">
        <v>23</v>
      </c>
      <c r="C85" s="4" t="s">
        <v>7</v>
      </c>
      <c r="D85" s="9">
        <v>73765</v>
      </c>
      <c r="E85" s="12">
        <v>3</v>
      </c>
      <c r="F85" s="13">
        <f t="shared" si="0"/>
        <v>221295</v>
      </c>
      <c r="G85" s="21">
        <v>44273</v>
      </c>
    </row>
    <row r="86" spans="1:7">
      <c r="A86" s="7">
        <v>0.34604166666666669</v>
      </c>
      <c r="B86" s="4" t="s">
        <v>21</v>
      </c>
      <c r="C86" s="4" t="s">
        <v>8</v>
      </c>
      <c r="D86" s="9">
        <v>74561</v>
      </c>
      <c r="E86" s="12">
        <v>3</v>
      </c>
      <c r="F86" s="13">
        <f t="shared" si="0"/>
        <v>-223683</v>
      </c>
      <c r="G86" s="21">
        <v>44273</v>
      </c>
    </row>
    <row r="87" spans="1:7">
      <c r="A87" s="7">
        <v>0.34604166666666669</v>
      </c>
      <c r="B87" s="4" t="s">
        <v>23</v>
      </c>
      <c r="C87" s="4" t="s">
        <v>7</v>
      </c>
      <c r="D87" s="9">
        <v>73765</v>
      </c>
      <c r="E87" s="12">
        <v>3</v>
      </c>
      <c r="F87" s="13">
        <f t="shared" si="0"/>
        <v>221295</v>
      </c>
      <c r="G87" s="21">
        <v>44273</v>
      </c>
    </row>
    <row r="88" spans="1:7">
      <c r="A88" s="7">
        <v>0.34604166666666669</v>
      </c>
      <c r="B88" s="4" t="s">
        <v>21</v>
      </c>
      <c r="C88" s="4" t="s">
        <v>8</v>
      </c>
      <c r="D88" s="9">
        <v>74561</v>
      </c>
      <c r="E88" s="12">
        <v>3</v>
      </c>
      <c r="F88" s="13">
        <f t="shared" si="0"/>
        <v>-223683</v>
      </c>
      <c r="G88" s="21">
        <v>44273</v>
      </c>
    </row>
    <row r="89" spans="1:7">
      <c r="A89" s="7">
        <v>0.34604166666666669</v>
      </c>
      <c r="B89" s="4" t="s">
        <v>23</v>
      </c>
      <c r="C89" s="4" t="s">
        <v>7</v>
      </c>
      <c r="D89" s="9">
        <v>73765</v>
      </c>
      <c r="E89" s="12">
        <v>3</v>
      </c>
      <c r="F89" s="13">
        <f t="shared" si="0"/>
        <v>221295</v>
      </c>
      <c r="G89" s="21">
        <v>44273</v>
      </c>
    </row>
    <row r="90" spans="1:7">
      <c r="A90" s="7">
        <v>0.34604166666666669</v>
      </c>
      <c r="B90" s="4" t="s">
        <v>21</v>
      </c>
      <c r="C90" s="4" t="s">
        <v>8</v>
      </c>
      <c r="D90" s="9">
        <v>74561</v>
      </c>
      <c r="E90" s="12">
        <v>2</v>
      </c>
      <c r="F90" s="13">
        <f t="shared" si="0"/>
        <v>-149122</v>
      </c>
      <c r="G90" s="21">
        <v>44273</v>
      </c>
    </row>
    <row r="91" spans="1:7">
      <c r="A91" s="7">
        <v>0.34604166666666669</v>
      </c>
      <c r="B91" s="4" t="s">
        <v>21</v>
      </c>
      <c r="C91" s="4" t="s">
        <v>8</v>
      </c>
      <c r="D91" s="9">
        <v>74561</v>
      </c>
      <c r="E91" s="12">
        <v>1</v>
      </c>
      <c r="F91" s="13">
        <f t="shared" si="0"/>
        <v>-74561</v>
      </c>
      <c r="G91" s="21">
        <v>44273</v>
      </c>
    </row>
    <row r="92" spans="1:7">
      <c r="A92" s="7">
        <v>0.34604166666666669</v>
      </c>
      <c r="B92" s="4" t="s">
        <v>23</v>
      </c>
      <c r="C92" s="4" t="s">
        <v>7</v>
      </c>
      <c r="D92" s="9">
        <v>73765</v>
      </c>
      <c r="E92" s="12">
        <v>3</v>
      </c>
      <c r="F92" s="13">
        <f t="shared" si="0"/>
        <v>221295</v>
      </c>
      <c r="G92" s="21">
        <v>44273</v>
      </c>
    </row>
    <row r="93" spans="1:7">
      <c r="A93" s="7">
        <v>0.34598379629629628</v>
      </c>
      <c r="B93" s="4" t="s">
        <v>21</v>
      </c>
      <c r="C93" s="4" t="s">
        <v>8</v>
      </c>
      <c r="D93" s="9">
        <v>74561</v>
      </c>
      <c r="E93" s="12">
        <v>1</v>
      </c>
      <c r="F93" s="13">
        <f t="shared" si="0"/>
        <v>-74561</v>
      </c>
      <c r="G93" s="21">
        <v>44273</v>
      </c>
    </row>
    <row r="94" spans="1:7">
      <c r="A94" s="7">
        <v>0.34598379629629628</v>
      </c>
      <c r="B94" s="4" t="s">
        <v>21</v>
      </c>
      <c r="C94" s="4" t="s">
        <v>8</v>
      </c>
      <c r="D94" s="9">
        <v>74561</v>
      </c>
      <c r="E94" s="12">
        <v>2</v>
      </c>
      <c r="F94" s="13">
        <f t="shared" si="0"/>
        <v>-149122</v>
      </c>
      <c r="G94" s="21">
        <v>44273</v>
      </c>
    </row>
    <row r="95" spans="1:7">
      <c r="A95" s="7">
        <v>0.34598379629629628</v>
      </c>
      <c r="B95" s="4" t="s">
        <v>23</v>
      </c>
      <c r="C95" s="4" t="s">
        <v>7</v>
      </c>
      <c r="D95" s="9">
        <v>73765</v>
      </c>
      <c r="E95" s="12">
        <v>3</v>
      </c>
      <c r="F95" s="13">
        <f t="shared" si="0"/>
        <v>221295</v>
      </c>
      <c r="G95" s="21">
        <v>44273</v>
      </c>
    </row>
    <row r="96" spans="1:7">
      <c r="A96" s="7">
        <v>0.34598379629629628</v>
      </c>
      <c r="B96" s="4" t="s">
        <v>21</v>
      </c>
      <c r="C96" s="4" t="s">
        <v>8</v>
      </c>
      <c r="D96" s="9">
        <v>74561</v>
      </c>
      <c r="E96" s="12">
        <v>1</v>
      </c>
      <c r="F96" s="13">
        <f t="shared" si="0"/>
        <v>-74561</v>
      </c>
      <c r="G96" s="21">
        <v>44273</v>
      </c>
    </row>
    <row r="97" spans="1:7">
      <c r="A97" s="7">
        <v>0.34598379629629628</v>
      </c>
      <c r="B97" s="4" t="s">
        <v>21</v>
      </c>
      <c r="C97" s="4" t="s">
        <v>8</v>
      </c>
      <c r="D97" s="9">
        <v>74561</v>
      </c>
      <c r="E97" s="12">
        <v>1</v>
      </c>
      <c r="F97" s="13">
        <f t="shared" si="0"/>
        <v>-74561</v>
      </c>
      <c r="G97" s="21">
        <v>44273</v>
      </c>
    </row>
    <row r="98" spans="1:7">
      <c r="A98" s="7">
        <v>0.34598379629629628</v>
      </c>
      <c r="B98" s="4" t="s">
        <v>21</v>
      </c>
      <c r="C98" s="4" t="s">
        <v>8</v>
      </c>
      <c r="D98" s="9">
        <v>74561</v>
      </c>
      <c r="E98" s="12">
        <v>1</v>
      </c>
      <c r="F98" s="13">
        <f t="shared" si="0"/>
        <v>-74561</v>
      </c>
      <c r="G98" s="21">
        <v>44273</v>
      </c>
    </row>
    <row r="99" spans="1:7">
      <c r="A99" s="7">
        <v>0.34598379629629628</v>
      </c>
      <c r="B99" s="4" t="s">
        <v>23</v>
      </c>
      <c r="C99" s="4" t="s">
        <v>7</v>
      </c>
      <c r="D99" s="9">
        <v>73765</v>
      </c>
      <c r="E99" s="12">
        <v>3</v>
      </c>
      <c r="F99" s="13">
        <f t="shared" si="0"/>
        <v>221295</v>
      </c>
      <c r="G99" s="21">
        <v>44273</v>
      </c>
    </row>
    <row r="100" spans="1:7">
      <c r="A100" s="7">
        <v>0.34598379629629628</v>
      </c>
      <c r="B100" s="4" t="s">
        <v>21</v>
      </c>
      <c r="C100" s="4" t="s">
        <v>8</v>
      </c>
      <c r="D100" s="9">
        <v>74561</v>
      </c>
      <c r="E100" s="12">
        <v>1</v>
      </c>
      <c r="F100" s="13">
        <f t="shared" si="0"/>
        <v>-74561</v>
      </c>
      <c r="G100" s="21">
        <v>44273</v>
      </c>
    </row>
    <row r="101" spans="1:7">
      <c r="A101" s="7">
        <v>0.34598379629629628</v>
      </c>
      <c r="B101" s="4" t="s">
        <v>21</v>
      </c>
      <c r="C101" s="4" t="s">
        <v>8</v>
      </c>
      <c r="D101" s="9">
        <v>74561</v>
      </c>
      <c r="E101" s="12">
        <v>2</v>
      </c>
      <c r="F101" s="13">
        <f t="shared" si="0"/>
        <v>-149122</v>
      </c>
      <c r="G101" s="21">
        <v>44273</v>
      </c>
    </row>
    <row r="102" spans="1:7">
      <c r="A102" s="7">
        <v>0.34598379629629628</v>
      </c>
      <c r="B102" s="4" t="s">
        <v>23</v>
      </c>
      <c r="C102" s="4" t="s">
        <v>7</v>
      </c>
      <c r="D102" s="9">
        <v>73765</v>
      </c>
      <c r="E102" s="12">
        <v>3</v>
      </c>
      <c r="F102" s="13">
        <f t="shared" si="0"/>
        <v>221295</v>
      </c>
      <c r="G102" s="21">
        <v>44273</v>
      </c>
    </row>
    <row r="103" spans="1:7">
      <c r="A103" s="7">
        <v>0.34598379629629628</v>
      </c>
      <c r="B103" s="4" t="s">
        <v>21</v>
      </c>
      <c r="C103" s="4" t="s">
        <v>8</v>
      </c>
      <c r="D103" s="9">
        <v>74561</v>
      </c>
      <c r="E103" s="12">
        <v>1</v>
      </c>
      <c r="F103" s="13">
        <f t="shared" si="0"/>
        <v>-74561</v>
      </c>
      <c r="G103" s="21">
        <v>44273</v>
      </c>
    </row>
    <row r="104" spans="1:7">
      <c r="A104" s="7">
        <v>0.34598379629629628</v>
      </c>
      <c r="B104" s="4" t="s">
        <v>21</v>
      </c>
      <c r="C104" s="4" t="s">
        <v>8</v>
      </c>
      <c r="D104" s="9">
        <v>74561</v>
      </c>
      <c r="E104" s="12">
        <v>2</v>
      </c>
      <c r="F104" s="13">
        <f t="shared" si="0"/>
        <v>-149122</v>
      </c>
      <c r="G104" s="21">
        <v>44273</v>
      </c>
    </row>
    <row r="105" spans="1:7">
      <c r="A105" s="7">
        <v>0.34598379629629628</v>
      </c>
      <c r="B105" s="4" t="s">
        <v>23</v>
      </c>
      <c r="C105" s="4" t="s">
        <v>7</v>
      </c>
      <c r="D105" s="9">
        <v>73765</v>
      </c>
      <c r="E105" s="12">
        <v>3</v>
      </c>
      <c r="F105" s="13">
        <f t="shared" si="0"/>
        <v>221295</v>
      </c>
      <c r="G105" s="21">
        <v>44273</v>
      </c>
    </row>
    <row r="106" spans="1:7">
      <c r="A106" s="7">
        <v>0.34598379629629628</v>
      </c>
      <c r="B106" s="4" t="s">
        <v>21</v>
      </c>
      <c r="C106" s="4" t="s">
        <v>8</v>
      </c>
      <c r="D106" s="9">
        <v>74561</v>
      </c>
      <c r="E106" s="12">
        <v>1</v>
      </c>
      <c r="F106" s="13">
        <f t="shared" si="0"/>
        <v>-74561</v>
      </c>
      <c r="G106" s="21">
        <v>44273</v>
      </c>
    </row>
    <row r="107" spans="1:7">
      <c r="A107" s="7">
        <v>0.34598379629629628</v>
      </c>
      <c r="B107" s="4" t="s">
        <v>21</v>
      </c>
      <c r="C107" s="4" t="s">
        <v>8</v>
      </c>
      <c r="D107" s="9">
        <v>74561</v>
      </c>
      <c r="E107" s="12">
        <v>1</v>
      </c>
      <c r="F107" s="13">
        <f t="shared" si="0"/>
        <v>-74561</v>
      </c>
      <c r="G107" s="21">
        <v>44273</v>
      </c>
    </row>
    <row r="108" spans="1:7">
      <c r="A108" s="7">
        <v>0.34598379629629628</v>
      </c>
      <c r="B108" s="4" t="s">
        <v>21</v>
      </c>
      <c r="C108" s="4" t="s">
        <v>8</v>
      </c>
      <c r="D108" s="9">
        <v>74561</v>
      </c>
      <c r="E108" s="12">
        <v>1</v>
      </c>
      <c r="F108" s="13">
        <f t="shared" si="0"/>
        <v>-74561</v>
      </c>
      <c r="G108" s="21">
        <v>44273</v>
      </c>
    </row>
    <row r="109" spans="1:7">
      <c r="A109" s="7">
        <v>0.34598379629629628</v>
      </c>
      <c r="B109" s="4" t="s">
        <v>23</v>
      </c>
      <c r="C109" s="4" t="s">
        <v>7</v>
      </c>
      <c r="D109" s="9">
        <v>73765</v>
      </c>
      <c r="E109" s="12">
        <v>3</v>
      </c>
      <c r="F109" s="13">
        <f t="shared" si="0"/>
        <v>221295</v>
      </c>
      <c r="G109" s="21">
        <v>44273</v>
      </c>
    </row>
    <row r="110" spans="1:7">
      <c r="A110" s="7">
        <v>0.34598379629629628</v>
      </c>
      <c r="B110" s="4" t="s">
        <v>21</v>
      </c>
      <c r="C110" s="4" t="s">
        <v>8</v>
      </c>
      <c r="D110" s="9">
        <v>74561</v>
      </c>
      <c r="E110" s="12">
        <v>2</v>
      </c>
      <c r="F110" s="13">
        <f t="shared" si="0"/>
        <v>-149122</v>
      </c>
      <c r="G110" s="21">
        <v>44273</v>
      </c>
    </row>
    <row r="111" spans="1:7">
      <c r="A111" s="7">
        <v>0.34598379629629628</v>
      </c>
      <c r="B111" s="4" t="s">
        <v>21</v>
      </c>
      <c r="C111" s="4" t="s">
        <v>8</v>
      </c>
      <c r="D111" s="9">
        <v>74561</v>
      </c>
      <c r="E111" s="12">
        <v>1</v>
      </c>
      <c r="F111" s="13">
        <f t="shared" si="0"/>
        <v>-74561</v>
      </c>
      <c r="G111" s="21">
        <v>44273</v>
      </c>
    </row>
    <row r="112" spans="1:7">
      <c r="A112" s="7">
        <v>0.34598379629629628</v>
      </c>
      <c r="B112" s="4" t="s">
        <v>23</v>
      </c>
      <c r="C112" s="4" t="s">
        <v>7</v>
      </c>
      <c r="D112" s="9">
        <v>73765</v>
      </c>
      <c r="E112" s="12">
        <v>3</v>
      </c>
      <c r="F112" s="13">
        <f t="shared" si="0"/>
        <v>221295</v>
      </c>
      <c r="G112" s="21">
        <v>44273</v>
      </c>
    </row>
    <row r="113" spans="1:7">
      <c r="A113" s="7">
        <v>0.34598379629629628</v>
      </c>
      <c r="B113" s="4" t="s">
        <v>21</v>
      </c>
      <c r="C113" s="4" t="s">
        <v>8</v>
      </c>
      <c r="D113" s="9">
        <v>74561</v>
      </c>
      <c r="E113" s="12">
        <v>3</v>
      </c>
      <c r="F113" s="13">
        <f t="shared" si="0"/>
        <v>-223683</v>
      </c>
      <c r="G113" s="21">
        <v>44273</v>
      </c>
    </row>
    <row r="114" spans="1:7">
      <c r="A114" s="7">
        <v>0.34598379629629628</v>
      </c>
      <c r="B114" s="4" t="s">
        <v>23</v>
      </c>
      <c r="C114" s="4" t="s">
        <v>7</v>
      </c>
      <c r="D114" s="9">
        <v>73765</v>
      </c>
      <c r="E114" s="12">
        <v>3</v>
      </c>
      <c r="F114" s="13">
        <f t="shared" si="0"/>
        <v>221295</v>
      </c>
      <c r="G114" s="21">
        <v>44273</v>
      </c>
    </row>
    <row r="115" spans="1:7">
      <c r="A115" s="7">
        <v>0.34597222222222224</v>
      </c>
      <c r="B115" s="4" t="s">
        <v>21</v>
      </c>
      <c r="C115" s="4" t="s">
        <v>8</v>
      </c>
      <c r="D115" s="9">
        <v>74561</v>
      </c>
      <c r="E115" s="12">
        <v>3</v>
      </c>
      <c r="F115" s="13">
        <f t="shared" si="0"/>
        <v>-223683</v>
      </c>
      <c r="G115" s="21">
        <v>44273</v>
      </c>
    </row>
    <row r="116" spans="1:7">
      <c r="A116" s="7">
        <v>0.34597222222222224</v>
      </c>
      <c r="B116" s="4" t="s">
        <v>23</v>
      </c>
      <c r="C116" s="4" t="s">
        <v>7</v>
      </c>
      <c r="D116" s="9">
        <v>73765</v>
      </c>
      <c r="E116" s="12">
        <v>3</v>
      </c>
      <c r="F116" s="13">
        <f t="shared" si="0"/>
        <v>221295</v>
      </c>
      <c r="G116" s="21">
        <v>44273</v>
      </c>
    </row>
    <row r="117" spans="1:7">
      <c r="A117" s="7">
        <v>0.34597222222222224</v>
      </c>
      <c r="B117" s="4" t="s">
        <v>21</v>
      </c>
      <c r="C117" s="4" t="s">
        <v>8</v>
      </c>
      <c r="D117" s="9">
        <v>74561</v>
      </c>
      <c r="E117" s="12">
        <v>2</v>
      </c>
      <c r="F117" s="13">
        <f t="shared" si="0"/>
        <v>-149122</v>
      </c>
      <c r="G117" s="21">
        <v>44273</v>
      </c>
    </row>
    <row r="118" spans="1:7">
      <c r="A118" s="7">
        <v>0.34597222222222224</v>
      </c>
      <c r="B118" s="4" t="s">
        <v>21</v>
      </c>
      <c r="C118" s="4" t="s">
        <v>8</v>
      </c>
      <c r="D118" s="9">
        <v>74561</v>
      </c>
      <c r="E118" s="12">
        <v>1</v>
      </c>
      <c r="F118" s="13">
        <f t="shared" si="0"/>
        <v>-74561</v>
      </c>
      <c r="G118" s="21">
        <v>44273</v>
      </c>
    </row>
    <row r="119" spans="1:7">
      <c r="A119" s="7">
        <v>0.34597222222222224</v>
      </c>
      <c r="B119" s="4" t="s">
        <v>23</v>
      </c>
      <c r="C119" s="4" t="s">
        <v>7</v>
      </c>
      <c r="D119" s="9">
        <v>73765</v>
      </c>
      <c r="E119" s="12">
        <v>3</v>
      </c>
      <c r="F119" s="13">
        <f t="shared" si="0"/>
        <v>221295</v>
      </c>
      <c r="G119" s="21">
        <v>44273</v>
      </c>
    </row>
    <row r="120" spans="1:7">
      <c r="A120" s="7">
        <v>0.34597222222222224</v>
      </c>
      <c r="B120" s="4" t="s">
        <v>21</v>
      </c>
      <c r="C120" s="4" t="s">
        <v>8</v>
      </c>
      <c r="D120" s="9">
        <v>74561</v>
      </c>
      <c r="E120" s="12">
        <v>3</v>
      </c>
      <c r="F120" s="13">
        <f t="shared" si="0"/>
        <v>-223683</v>
      </c>
      <c r="G120" s="21">
        <v>44273</v>
      </c>
    </row>
    <row r="121" spans="1:7">
      <c r="A121" s="7">
        <v>0.34597222222222224</v>
      </c>
      <c r="B121" s="4" t="s">
        <v>23</v>
      </c>
      <c r="C121" s="4" t="s">
        <v>7</v>
      </c>
      <c r="D121" s="9">
        <v>73765</v>
      </c>
      <c r="E121" s="12">
        <v>3</v>
      </c>
      <c r="F121" s="13">
        <f t="shared" si="0"/>
        <v>221295</v>
      </c>
      <c r="G121" s="21">
        <v>44273</v>
      </c>
    </row>
    <row r="122" spans="1:7">
      <c r="A122" s="7">
        <v>0.34577546296296297</v>
      </c>
      <c r="B122" s="4" t="s">
        <v>21</v>
      </c>
      <c r="C122" s="4" t="s">
        <v>8</v>
      </c>
      <c r="D122" s="9">
        <v>74561</v>
      </c>
      <c r="E122" s="12">
        <v>3</v>
      </c>
      <c r="F122" s="13">
        <f t="shared" si="0"/>
        <v>-223683</v>
      </c>
      <c r="G122" s="21">
        <v>44273</v>
      </c>
    </row>
    <row r="123" spans="1:7">
      <c r="A123" s="7">
        <v>0.34577546296296297</v>
      </c>
      <c r="B123" s="4" t="s">
        <v>23</v>
      </c>
      <c r="C123" s="4" t="s">
        <v>7</v>
      </c>
      <c r="D123" s="9">
        <v>73761</v>
      </c>
      <c r="E123" s="12">
        <v>3</v>
      </c>
      <c r="F123" s="13">
        <f t="shared" si="0"/>
        <v>221283</v>
      </c>
      <c r="G123" s="21">
        <v>44273</v>
      </c>
    </row>
    <row r="124" spans="1:7">
      <c r="A124" s="7">
        <v>0.34546296296296297</v>
      </c>
      <c r="B124" s="4" t="s">
        <v>21</v>
      </c>
      <c r="C124" s="4" t="s">
        <v>8</v>
      </c>
      <c r="D124" s="9">
        <v>74548</v>
      </c>
      <c r="E124" s="12">
        <v>2</v>
      </c>
      <c r="F124" s="13">
        <f t="shared" si="0"/>
        <v>-149096</v>
      </c>
      <c r="G124" s="21">
        <v>44273</v>
      </c>
    </row>
    <row r="125" spans="1:7">
      <c r="A125" s="7">
        <v>0.34546296296296297</v>
      </c>
      <c r="B125" s="4" t="s">
        <v>21</v>
      </c>
      <c r="C125" s="4" t="s">
        <v>8</v>
      </c>
      <c r="D125" s="9">
        <v>74548</v>
      </c>
      <c r="E125" s="12">
        <v>1</v>
      </c>
      <c r="F125" s="13">
        <f t="shared" si="0"/>
        <v>-74548</v>
      </c>
      <c r="G125" s="21">
        <v>44273</v>
      </c>
    </row>
    <row r="126" spans="1:7">
      <c r="A126" s="7">
        <v>0.34546296296296297</v>
      </c>
      <c r="B126" s="4" t="s">
        <v>23</v>
      </c>
      <c r="C126" s="4" t="s">
        <v>7</v>
      </c>
      <c r="D126" s="9">
        <v>73745</v>
      </c>
      <c r="E126" s="12">
        <v>1</v>
      </c>
      <c r="F126" s="13">
        <f t="shared" si="0"/>
        <v>73745</v>
      </c>
      <c r="G126" s="21">
        <v>44273</v>
      </c>
    </row>
    <row r="127" spans="1:7">
      <c r="A127" s="7">
        <v>0.34546296296296297</v>
      </c>
      <c r="B127" s="4" t="s">
        <v>23</v>
      </c>
      <c r="C127" s="4" t="s">
        <v>7</v>
      </c>
      <c r="D127" s="9">
        <v>73745</v>
      </c>
      <c r="E127" s="12">
        <v>2</v>
      </c>
      <c r="F127" s="13">
        <f t="shared" si="0"/>
        <v>147490</v>
      </c>
      <c r="G127" s="21">
        <v>44273</v>
      </c>
    </row>
    <row r="128" spans="1:7">
      <c r="A128" s="7">
        <v>0.3452662037037037</v>
      </c>
      <c r="B128" s="4" t="s">
        <v>21</v>
      </c>
      <c r="C128" s="4" t="s">
        <v>8</v>
      </c>
      <c r="D128" s="9">
        <v>74544</v>
      </c>
      <c r="E128" s="12">
        <v>1</v>
      </c>
      <c r="F128" s="13">
        <f t="shared" si="0"/>
        <v>-74544</v>
      </c>
      <c r="G128" s="21">
        <v>44273</v>
      </c>
    </row>
    <row r="129" spans="1:7">
      <c r="A129" s="7">
        <v>0.3452662037037037</v>
      </c>
      <c r="B129" s="4" t="s">
        <v>23</v>
      </c>
      <c r="C129" s="4" t="s">
        <v>7</v>
      </c>
      <c r="D129" s="9">
        <v>73748</v>
      </c>
      <c r="E129" s="12">
        <v>1</v>
      </c>
      <c r="F129" s="13">
        <f t="shared" si="0"/>
        <v>73748</v>
      </c>
      <c r="G129" s="21">
        <v>44273</v>
      </c>
    </row>
    <row r="130" spans="1:7">
      <c r="A130" s="7">
        <v>0.34511574074074075</v>
      </c>
      <c r="B130" s="4" t="s">
        <v>21</v>
      </c>
      <c r="C130" s="4" t="s">
        <v>8</v>
      </c>
      <c r="D130" s="9">
        <v>74548</v>
      </c>
      <c r="E130" s="12">
        <v>2</v>
      </c>
      <c r="F130" s="13">
        <f t="shared" si="0"/>
        <v>-149096</v>
      </c>
      <c r="G130" s="21">
        <v>44273</v>
      </c>
    </row>
    <row r="131" spans="1:7">
      <c r="A131" s="7">
        <v>0.34511574074074075</v>
      </c>
      <c r="B131" s="4" t="s">
        <v>21</v>
      </c>
      <c r="C131" s="4" t="s">
        <v>8</v>
      </c>
      <c r="D131" s="9">
        <v>74548</v>
      </c>
      <c r="E131" s="12">
        <v>1</v>
      </c>
      <c r="F131" s="13">
        <f t="shared" si="0"/>
        <v>-74548</v>
      </c>
      <c r="G131" s="21">
        <v>44273</v>
      </c>
    </row>
    <row r="132" spans="1:7">
      <c r="A132" s="7">
        <v>0.34511574074074075</v>
      </c>
      <c r="B132" s="4" t="s">
        <v>23</v>
      </c>
      <c r="C132" s="4" t="s">
        <v>7</v>
      </c>
      <c r="D132" s="9">
        <v>73752</v>
      </c>
      <c r="E132" s="12">
        <v>3</v>
      </c>
      <c r="F132" s="13">
        <f t="shared" si="0"/>
        <v>221256</v>
      </c>
      <c r="G132" s="21">
        <v>44273</v>
      </c>
    </row>
    <row r="133" spans="1:7">
      <c r="A133" s="7">
        <v>0.34476851851851853</v>
      </c>
      <c r="B133" s="4" t="s">
        <v>21</v>
      </c>
      <c r="C133" s="4" t="s">
        <v>8</v>
      </c>
      <c r="D133" s="9">
        <v>74549</v>
      </c>
      <c r="E133" s="12">
        <v>1</v>
      </c>
      <c r="F133" s="13">
        <f t="shared" si="0"/>
        <v>-74549</v>
      </c>
      <c r="G133" s="21">
        <v>44273</v>
      </c>
    </row>
    <row r="134" spans="1:7">
      <c r="A134" s="7">
        <v>0.34476851851851853</v>
      </c>
      <c r="B134" s="4" t="s">
        <v>23</v>
      </c>
      <c r="C134" s="4" t="s">
        <v>7</v>
      </c>
      <c r="D134" s="9">
        <v>73753</v>
      </c>
      <c r="E134" s="12">
        <v>1</v>
      </c>
      <c r="F134" s="13">
        <f t="shared" si="0"/>
        <v>73753</v>
      </c>
      <c r="G134" s="21">
        <v>44273</v>
      </c>
    </row>
    <row r="135" spans="1:7">
      <c r="A135" s="7">
        <v>0.34476851851851853</v>
      </c>
      <c r="B135" s="4" t="s">
        <v>21</v>
      </c>
      <c r="C135" s="4" t="s">
        <v>8</v>
      </c>
      <c r="D135" s="9">
        <v>74547</v>
      </c>
      <c r="E135" s="12">
        <v>1</v>
      </c>
      <c r="F135" s="13">
        <f t="shared" si="0"/>
        <v>-74547</v>
      </c>
      <c r="G135" s="21">
        <v>44273</v>
      </c>
    </row>
    <row r="136" spans="1:7">
      <c r="A136" s="7">
        <v>0.34476851851851853</v>
      </c>
      <c r="B136" s="4" t="s">
        <v>23</v>
      </c>
      <c r="C136" s="4" t="s">
        <v>7</v>
      </c>
      <c r="D136" s="9">
        <v>73752</v>
      </c>
      <c r="E136" s="12">
        <v>1</v>
      </c>
      <c r="F136" s="13">
        <f t="shared" si="0"/>
        <v>73752</v>
      </c>
      <c r="G136" s="21">
        <v>44273</v>
      </c>
    </row>
    <row r="137" spans="1:7">
      <c r="A137" s="7">
        <v>0.34475694444444444</v>
      </c>
      <c r="B137" s="4" t="s">
        <v>21</v>
      </c>
      <c r="C137" s="4" t="s">
        <v>8</v>
      </c>
      <c r="D137" s="9">
        <v>74549</v>
      </c>
      <c r="E137" s="12">
        <v>1</v>
      </c>
      <c r="F137" s="13">
        <f t="shared" si="0"/>
        <v>-74549</v>
      </c>
      <c r="G137" s="21">
        <v>44273</v>
      </c>
    </row>
    <row r="138" spans="1:7">
      <c r="A138" s="7">
        <v>0.34475694444444444</v>
      </c>
      <c r="B138" s="4" t="s">
        <v>23</v>
      </c>
      <c r="C138" s="4" t="s">
        <v>7</v>
      </c>
      <c r="D138" s="9">
        <v>73753</v>
      </c>
      <c r="E138" s="12">
        <v>1</v>
      </c>
      <c r="F138" s="13">
        <f t="shared" si="0"/>
        <v>73753</v>
      </c>
      <c r="G138" s="21">
        <v>44273</v>
      </c>
    </row>
    <row r="139" spans="1:7">
      <c r="A139" s="7">
        <v>0.3447453703703704</v>
      </c>
      <c r="B139" s="4" t="s">
        <v>21</v>
      </c>
      <c r="C139" s="4" t="s">
        <v>8</v>
      </c>
      <c r="D139" s="9">
        <v>74548</v>
      </c>
      <c r="E139" s="12">
        <v>1</v>
      </c>
      <c r="F139" s="13">
        <f t="shared" si="0"/>
        <v>-74548</v>
      </c>
      <c r="G139" s="21">
        <v>44273</v>
      </c>
    </row>
    <row r="140" spans="1:7">
      <c r="A140" s="7">
        <v>0.3447453703703704</v>
      </c>
      <c r="B140" s="4" t="s">
        <v>23</v>
      </c>
      <c r="C140" s="4" t="s">
        <v>7</v>
      </c>
      <c r="D140" s="9">
        <v>73752</v>
      </c>
      <c r="E140" s="12">
        <v>1</v>
      </c>
      <c r="F140" s="13">
        <f t="shared" si="0"/>
        <v>73752</v>
      </c>
      <c r="G140" s="21">
        <v>44273</v>
      </c>
    </row>
    <row r="141" spans="1:7">
      <c r="A141" s="7">
        <v>0.3447453703703704</v>
      </c>
      <c r="B141" s="4" t="s">
        <v>21</v>
      </c>
      <c r="C141" s="4" t="s">
        <v>8</v>
      </c>
      <c r="D141" s="9">
        <v>74548</v>
      </c>
      <c r="E141" s="12">
        <v>1</v>
      </c>
      <c r="F141" s="13">
        <f t="shared" si="0"/>
        <v>-74548</v>
      </c>
      <c r="G141" s="21">
        <v>44273</v>
      </c>
    </row>
    <row r="142" spans="1:7">
      <c r="A142" s="7">
        <v>0.3447453703703704</v>
      </c>
      <c r="B142" s="4" t="s">
        <v>23</v>
      </c>
      <c r="C142" s="4" t="s">
        <v>7</v>
      </c>
      <c r="D142" s="9">
        <v>73752</v>
      </c>
      <c r="E142" s="12">
        <v>1</v>
      </c>
      <c r="F142" s="13">
        <f t="shared" si="0"/>
        <v>73752</v>
      </c>
      <c r="G142" s="21">
        <v>44273</v>
      </c>
    </row>
    <row r="143" spans="1:7">
      <c r="A143" s="7">
        <v>0.34468749999999998</v>
      </c>
      <c r="B143" s="4" t="s">
        <v>21</v>
      </c>
      <c r="C143" s="4" t="s">
        <v>8</v>
      </c>
      <c r="D143" s="9">
        <v>74550</v>
      </c>
      <c r="E143" s="12">
        <v>1</v>
      </c>
      <c r="F143" s="13">
        <f t="shared" si="0"/>
        <v>-74550</v>
      </c>
      <c r="G143" s="21">
        <v>44273</v>
      </c>
    </row>
    <row r="144" spans="1:7">
      <c r="A144" s="7">
        <v>0.34468749999999998</v>
      </c>
      <c r="B144" s="4" t="s">
        <v>23</v>
      </c>
      <c r="C144" s="4" t="s">
        <v>7</v>
      </c>
      <c r="D144" s="9">
        <v>73754</v>
      </c>
      <c r="E144" s="12">
        <v>1</v>
      </c>
      <c r="F144" s="13">
        <f t="shared" si="0"/>
        <v>73754</v>
      </c>
      <c r="G144" s="21">
        <v>44273</v>
      </c>
    </row>
    <row r="145" spans="1:7">
      <c r="A145" s="7">
        <v>0.34464120370370371</v>
      </c>
      <c r="B145" s="4" t="s">
        <v>21</v>
      </c>
      <c r="C145" s="4" t="s">
        <v>8</v>
      </c>
      <c r="D145" s="9">
        <v>74555</v>
      </c>
      <c r="E145" s="12">
        <v>1</v>
      </c>
      <c r="F145" s="13">
        <f t="shared" si="0"/>
        <v>-74555</v>
      </c>
      <c r="G145" s="21">
        <v>44273</v>
      </c>
    </row>
    <row r="146" spans="1:7">
      <c r="A146" s="7">
        <v>0.34464120370370371</v>
      </c>
      <c r="B146" s="4" t="s">
        <v>23</v>
      </c>
      <c r="C146" s="4" t="s">
        <v>7</v>
      </c>
      <c r="D146" s="9">
        <v>73752</v>
      </c>
      <c r="E146" s="12">
        <v>1</v>
      </c>
      <c r="F146" s="13">
        <f t="shared" si="0"/>
        <v>73752</v>
      </c>
      <c r="G146" s="21">
        <v>44273</v>
      </c>
    </row>
    <row r="147" spans="1:7">
      <c r="A147" s="7">
        <v>0.34464120370370371</v>
      </c>
      <c r="B147" s="4" t="s">
        <v>21</v>
      </c>
      <c r="C147" s="4" t="s">
        <v>8</v>
      </c>
      <c r="D147" s="9">
        <v>74556</v>
      </c>
      <c r="E147" s="12">
        <v>1</v>
      </c>
      <c r="F147" s="13">
        <f t="shared" si="0"/>
        <v>-74556</v>
      </c>
      <c r="G147" s="21">
        <v>44273</v>
      </c>
    </row>
    <row r="148" spans="1:7">
      <c r="A148" s="7">
        <v>0.34464120370370371</v>
      </c>
      <c r="B148" s="4" t="s">
        <v>23</v>
      </c>
      <c r="C148" s="4" t="s">
        <v>7</v>
      </c>
      <c r="D148" s="9">
        <v>73760</v>
      </c>
      <c r="E148" s="12">
        <v>1</v>
      </c>
      <c r="F148" s="13">
        <f t="shared" si="0"/>
        <v>73760</v>
      </c>
      <c r="G148" s="21">
        <v>44273</v>
      </c>
    </row>
    <row r="149" spans="1:7">
      <c r="A149" s="7">
        <v>0.3442013888888889</v>
      </c>
      <c r="B149" s="4" t="s">
        <v>21</v>
      </c>
      <c r="C149" s="4" t="s">
        <v>8</v>
      </c>
      <c r="D149" s="9">
        <v>74558</v>
      </c>
      <c r="E149" s="12">
        <v>1</v>
      </c>
      <c r="F149" s="13">
        <f t="shared" si="0"/>
        <v>-74558</v>
      </c>
      <c r="G149" s="21">
        <v>44273</v>
      </c>
    </row>
    <row r="150" spans="1:7">
      <c r="A150" s="7">
        <v>0.3442013888888889</v>
      </c>
      <c r="B150" s="4" t="s">
        <v>23</v>
      </c>
      <c r="C150" s="4" t="s">
        <v>7</v>
      </c>
      <c r="D150" s="9">
        <v>73762</v>
      </c>
      <c r="E150" s="12">
        <v>1</v>
      </c>
      <c r="F150" s="13">
        <f t="shared" si="0"/>
        <v>73762</v>
      </c>
      <c r="G150" s="21">
        <v>44273</v>
      </c>
    </row>
    <row r="151" spans="1:7">
      <c r="A151" s="7">
        <v>0.34414351851851854</v>
      </c>
      <c r="B151" s="4" t="s">
        <v>21</v>
      </c>
      <c r="C151" s="4" t="s">
        <v>8</v>
      </c>
      <c r="D151" s="9">
        <v>74558</v>
      </c>
      <c r="E151" s="12">
        <v>1</v>
      </c>
      <c r="F151" s="13">
        <f t="shared" si="0"/>
        <v>-74558</v>
      </c>
      <c r="G151" s="21">
        <v>44273</v>
      </c>
    </row>
    <row r="152" spans="1:7">
      <c r="A152" s="7">
        <v>0.34414351851851854</v>
      </c>
      <c r="B152" s="4" t="s">
        <v>23</v>
      </c>
      <c r="C152" s="4" t="s">
        <v>7</v>
      </c>
      <c r="D152" s="9">
        <v>73762</v>
      </c>
      <c r="E152" s="12">
        <v>1</v>
      </c>
      <c r="F152" s="13">
        <f t="shared" si="0"/>
        <v>73762</v>
      </c>
      <c r="G152" s="21">
        <v>44273</v>
      </c>
    </row>
    <row r="153" spans="1:7">
      <c r="A153" s="7">
        <v>0.34393518518518518</v>
      </c>
      <c r="B153" s="4" t="s">
        <v>21</v>
      </c>
      <c r="C153" s="4" t="s">
        <v>8</v>
      </c>
      <c r="D153" s="9">
        <v>74563</v>
      </c>
      <c r="E153" s="12">
        <v>1</v>
      </c>
      <c r="F153" s="13">
        <f t="shared" si="0"/>
        <v>-74563</v>
      </c>
      <c r="G153" s="21">
        <v>44273</v>
      </c>
    </row>
    <row r="154" spans="1:7">
      <c r="A154" s="7">
        <v>0.34393518518518518</v>
      </c>
      <c r="B154" s="4" t="s">
        <v>23</v>
      </c>
      <c r="C154" s="4" t="s">
        <v>7</v>
      </c>
      <c r="D154" s="9">
        <v>73763</v>
      </c>
      <c r="E154" s="12">
        <v>1</v>
      </c>
      <c r="F154" s="13">
        <f t="shared" si="0"/>
        <v>73763</v>
      </c>
      <c r="G154" s="21">
        <v>44273</v>
      </c>
    </row>
    <row r="155" spans="1:7">
      <c r="A155" s="7">
        <v>0.34356481481481482</v>
      </c>
      <c r="B155" s="4" t="s">
        <v>21</v>
      </c>
      <c r="C155" s="4" t="s">
        <v>8</v>
      </c>
      <c r="D155" s="9">
        <v>74562</v>
      </c>
      <c r="E155" s="12">
        <v>1</v>
      </c>
      <c r="F155" s="13">
        <f t="shared" si="0"/>
        <v>-74562</v>
      </c>
      <c r="G155" s="21">
        <v>44273</v>
      </c>
    </row>
    <row r="156" spans="1:7">
      <c r="A156" s="7">
        <v>0.34356481481481482</v>
      </c>
      <c r="B156" s="4" t="s">
        <v>23</v>
      </c>
      <c r="C156" s="4" t="s">
        <v>7</v>
      </c>
      <c r="D156" s="9">
        <v>73761</v>
      </c>
      <c r="E156" s="12">
        <v>1</v>
      </c>
      <c r="F156" s="13">
        <f t="shared" si="0"/>
        <v>73761</v>
      </c>
      <c r="G156" s="21">
        <v>44273</v>
      </c>
    </row>
    <row r="157" spans="1:7">
      <c r="A157" s="7">
        <v>0.34337962962962965</v>
      </c>
      <c r="B157" s="4" t="s">
        <v>21</v>
      </c>
      <c r="C157" s="4" t="s">
        <v>8</v>
      </c>
      <c r="D157" s="9">
        <v>74551</v>
      </c>
      <c r="E157" s="12">
        <v>1</v>
      </c>
      <c r="F157" s="13">
        <f t="shared" si="0"/>
        <v>-74551</v>
      </c>
      <c r="G157" s="21">
        <v>44273</v>
      </c>
    </row>
    <row r="158" spans="1:7">
      <c r="A158" s="7">
        <v>0.34337962962962965</v>
      </c>
      <c r="B158" s="4" t="s">
        <v>23</v>
      </c>
      <c r="C158" s="4" t="s">
        <v>7</v>
      </c>
      <c r="D158" s="9">
        <v>73755</v>
      </c>
      <c r="E158" s="12">
        <v>1</v>
      </c>
      <c r="F158" s="13">
        <f t="shared" si="0"/>
        <v>73755</v>
      </c>
      <c r="G158" s="21">
        <v>44273</v>
      </c>
    </row>
    <row r="159" spans="1:7">
      <c r="A159" s="7">
        <v>0.34337962962962965</v>
      </c>
      <c r="B159" s="4" t="s">
        <v>21</v>
      </c>
      <c r="C159" s="4" t="s">
        <v>8</v>
      </c>
      <c r="D159" s="9">
        <v>74551</v>
      </c>
      <c r="E159" s="12">
        <v>1</v>
      </c>
      <c r="F159" s="13">
        <f t="shared" si="0"/>
        <v>-74551</v>
      </c>
      <c r="G159" s="21">
        <v>44273</v>
      </c>
    </row>
    <row r="160" spans="1:7">
      <c r="A160" s="7">
        <v>0.34337962962962965</v>
      </c>
      <c r="B160" s="4" t="s">
        <v>23</v>
      </c>
      <c r="C160" s="4" t="s">
        <v>7</v>
      </c>
      <c r="D160" s="9">
        <v>73755</v>
      </c>
      <c r="E160" s="12">
        <v>1</v>
      </c>
      <c r="F160" s="13">
        <f t="shared" si="0"/>
        <v>73755</v>
      </c>
      <c r="G160" s="21">
        <v>44273</v>
      </c>
    </row>
    <row r="161" spans="1:7">
      <c r="A161" s="7">
        <v>0.34337962962962965</v>
      </c>
      <c r="B161" s="4" t="s">
        <v>21</v>
      </c>
      <c r="C161" s="4" t="s">
        <v>8</v>
      </c>
      <c r="D161" s="9">
        <v>74553</v>
      </c>
      <c r="E161" s="12">
        <v>1</v>
      </c>
      <c r="F161" s="13">
        <f t="shared" si="0"/>
        <v>-74553</v>
      </c>
      <c r="G161" s="21">
        <v>44273</v>
      </c>
    </row>
    <row r="162" spans="1:7">
      <c r="A162" s="7">
        <v>0.34337962962962965</v>
      </c>
      <c r="B162" s="4" t="s">
        <v>23</v>
      </c>
      <c r="C162" s="4" t="s">
        <v>7</v>
      </c>
      <c r="D162" s="9">
        <v>73757</v>
      </c>
      <c r="E162" s="12">
        <v>1</v>
      </c>
      <c r="F162" s="13">
        <f t="shared" si="0"/>
        <v>73757</v>
      </c>
      <c r="G162" s="21">
        <v>44273</v>
      </c>
    </row>
    <row r="163" spans="1:7">
      <c r="A163" s="7">
        <v>0.34337962962962965</v>
      </c>
      <c r="B163" s="4" t="s">
        <v>21</v>
      </c>
      <c r="C163" s="4" t="s">
        <v>8</v>
      </c>
      <c r="D163" s="9">
        <v>74553</v>
      </c>
      <c r="E163" s="12">
        <v>1</v>
      </c>
      <c r="F163" s="13">
        <f t="shared" si="0"/>
        <v>-74553</v>
      </c>
      <c r="G163" s="21">
        <v>44273</v>
      </c>
    </row>
    <row r="164" spans="1:7">
      <c r="A164" s="7">
        <v>0.34337962962962965</v>
      </c>
      <c r="B164" s="4" t="s">
        <v>23</v>
      </c>
      <c r="C164" s="4" t="s">
        <v>7</v>
      </c>
      <c r="D164" s="9">
        <v>73757</v>
      </c>
      <c r="E164" s="12">
        <v>1</v>
      </c>
      <c r="F164" s="13">
        <f t="shared" si="0"/>
        <v>73757</v>
      </c>
      <c r="G164" s="21">
        <v>44273</v>
      </c>
    </row>
    <row r="165" spans="1:7">
      <c r="A165" s="7">
        <v>0.34312500000000001</v>
      </c>
      <c r="B165" s="4" t="s">
        <v>21</v>
      </c>
      <c r="C165" s="4" t="s">
        <v>8</v>
      </c>
      <c r="D165" s="9">
        <v>74555</v>
      </c>
      <c r="E165" s="12">
        <v>1</v>
      </c>
      <c r="F165" s="13">
        <f t="shared" si="0"/>
        <v>-74555</v>
      </c>
      <c r="G165" s="21">
        <v>44273</v>
      </c>
    </row>
    <row r="166" spans="1:7">
      <c r="A166" s="7">
        <v>0.34312500000000001</v>
      </c>
      <c r="B166" s="4" t="s">
        <v>23</v>
      </c>
      <c r="C166" s="4" t="s">
        <v>7</v>
      </c>
      <c r="D166" s="9">
        <v>73759</v>
      </c>
      <c r="E166" s="12">
        <v>1</v>
      </c>
      <c r="F166" s="13">
        <f t="shared" si="0"/>
        <v>73759</v>
      </c>
      <c r="G166" s="21">
        <v>44273</v>
      </c>
    </row>
    <row r="167" spans="1:7">
      <c r="A167" s="7">
        <v>0.34285879629629629</v>
      </c>
      <c r="B167" s="4" t="s">
        <v>21</v>
      </c>
      <c r="C167" s="4" t="s">
        <v>8</v>
      </c>
      <c r="D167" s="9">
        <v>74557</v>
      </c>
      <c r="E167" s="12">
        <v>1</v>
      </c>
      <c r="F167" s="13">
        <f t="shared" si="0"/>
        <v>-74557</v>
      </c>
      <c r="G167" s="21">
        <v>44273</v>
      </c>
    </row>
    <row r="168" spans="1:7">
      <c r="A168" s="7">
        <v>0.34285879629629629</v>
      </c>
      <c r="B168" s="4" t="s">
        <v>23</v>
      </c>
      <c r="C168" s="4" t="s">
        <v>7</v>
      </c>
      <c r="D168" s="9">
        <v>73761</v>
      </c>
      <c r="E168" s="12">
        <v>1</v>
      </c>
      <c r="F168" s="13">
        <f t="shared" si="0"/>
        <v>73761</v>
      </c>
      <c r="G168" s="21">
        <v>44273</v>
      </c>
    </row>
    <row r="169" spans="1:7">
      <c r="A169" s="7">
        <v>0.33870370370370373</v>
      </c>
      <c r="B169" s="4" t="s">
        <v>21</v>
      </c>
      <c r="C169" s="4" t="s">
        <v>8</v>
      </c>
      <c r="D169" s="9">
        <v>74543</v>
      </c>
      <c r="E169" s="12">
        <v>1</v>
      </c>
      <c r="F169" s="13">
        <f t="shared" si="0"/>
        <v>-74543</v>
      </c>
      <c r="G169" s="21">
        <v>44273</v>
      </c>
    </row>
    <row r="170" spans="1:7">
      <c r="A170" s="7">
        <v>0.33870370370370373</v>
      </c>
      <c r="B170" s="4" t="s">
        <v>23</v>
      </c>
      <c r="C170" s="4" t="s">
        <v>7</v>
      </c>
      <c r="D170" s="9">
        <v>73745</v>
      </c>
      <c r="E170" s="12">
        <v>1</v>
      </c>
      <c r="F170" s="13">
        <f t="shared" si="0"/>
        <v>73745</v>
      </c>
      <c r="G170" s="21">
        <v>44273</v>
      </c>
    </row>
    <row r="171" spans="1:7">
      <c r="A171" s="7">
        <v>0.33624999999999999</v>
      </c>
      <c r="B171" s="4" t="s">
        <v>25</v>
      </c>
      <c r="C171" s="4" t="s">
        <v>7</v>
      </c>
      <c r="D171" s="9">
        <v>26.47</v>
      </c>
      <c r="E171" s="12">
        <v>376</v>
      </c>
      <c r="F171" s="13">
        <f t="shared" si="0"/>
        <v>9952.7199999999993</v>
      </c>
      <c r="G171" s="21">
        <v>44273</v>
      </c>
    </row>
    <row r="172" spans="1:7">
      <c r="A172" s="7">
        <v>0.33624999999999999</v>
      </c>
      <c r="B172" s="4" t="s">
        <v>25</v>
      </c>
      <c r="C172" s="4" t="s">
        <v>7</v>
      </c>
      <c r="D172" s="9">
        <v>26.47</v>
      </c>
      <c r="E172" s="12">
        <v>399</v>
      </c>
      <c r="F172" s="13">
        <f t="shared" si="0"/>
        <v>10561.529999999999</v>
      </c>
      <c r="G172" s="21">
        <v>44273</v>
      </c>
    </row>
    <row r="173" spans="1:7">
      <c r="A173" s="7">
        <v>0.3362384259259259</v>
      </c>
      <c r="B173" s="4" t="s">
        <v>25</v>
      </c>
      <c r="C173" s="4" t="s">
        <v>7</v>
      </c>
      <c r="D173" s="9">
        <v>26.48</v>
      </c>
      <c r="E173" s="12">
        <v>225</v>
      </c>
      <c r="F173" s="13">
        <f t="shared" si="0"/>
        <v>5958</v>
      </c>
      <c r="G173" s="21">
        <v>44273</v>
      </c>
    </row>
    <row r="174" spans="1:7">
      <c r="A174" s="7">
        <v>0.33572916666666669</v>
      </c>
      <c r="B174" s="4" t="s">
        <v>25</v>
      </c>
      <c r="C174" s="4" t="s">
        <v>8</v>
      </c>
      <c r="D174" s="9">
        <v>26.5</v>
      </c>
      <c r="E174" s="12">
        <v>3</v>
      </c>
      <c r="F174" s="13">
        <f t="shared" si="0"/>
        <v>-79.5</v>
      </c>
      <c r="G174" s="21">
        <v>44273</v>
      </c>
    </row>
    <row r="175" spans="1:7">
      <c r="A175" s="7">
        <v>0.33572916666666669</v>
      </c>
      <c r="B175" s="4" t="s">
        <v>25</v>
      </c>
      <c r="C175" s="4" t="s">
        <v>8</v>
      </c>
      <c r="D175" s="9">
        <v>26.5</v>
      </c>
      <c r="E175" s="12">
        <v>50</v>
      </c>
      <c r="F175" s="13">
        <f t="shared" si="0"/>
        <v>-1325</v>
      </c>
      <c r="G175" s="21">
        <v>44273</v>
      </c>
    </row>
    <row r="176" spans="1:7">
      <c r="A176" s="7">
        <v>0.33572916666666669</v>
      </c>
      <c r="B176" s="4" t="s">
        <v>25</v>
      </c>
      <c r="C176" s="4" t="s">
        <v>8</v>
      </c>
      <c r="D176" s="9">
        <v>26.5</v>
      </c>
      <c r="E176" s="12">
        <v>1</v>
      </c>
      <c r="F176" s="13">
        <f t="shared" si="0"/>
        <v>-26.5</v>
      </c>
      <c r="G176" s="21">
        <v>44273</v>
      </c>
    </row>
    <row r="177" spans="1:7">
      <c r="A177" s="7">
        <v>0.33572916666666669</v>
      </c>
      <c r="B177" s="4" t="s">
        <v>25</v>
      </c>
      <c r="C177" s="4" t="s">
        <v>8</v>
      </c>
      <c r="D177" s="9">
        <v>26.5</v>
      </c>
      <c r="E177" s="12">
        <v>4</v>
      </c>
      <c r="F177" s="13">
        <f t="shared" si="0"/>
        <v>-106</v>
      </c>
      <c r="G177" s="21">
        <v>44273</v>
      </c>
    </row>
    <row r="178" spans="1:7">
      <c r="A178" s="7">
        <v>0.3334259259259259</v>
      </c>
      <c r="B178" s="4" t="s">
        <v>25</v>
      </c>
      <c r="C178" s="4" t="s">
        <v>8</v>
      </c>
      <c r="D178" s="9">
        <v>26.44</v>
      </c>
      <c r="E178" s="12">
        <v>942</v>
      </c>
      <c r="F178" s="13">
        <f t="shared" si="0"/>
        <v>-24906.48</v>
      </c>
      <c r="G178" s="21">
        <v>44273</v>
      </c>
    </row>
    <row r="179" spans="1:7">
      <c r="A179" s="7">
        <v>0.33339120370370373</v>
      </c>
      <c r="B179" s="4" t="s">
        <v>21</v>
      </c>
      <c r="C179" s="4" t="s">
        <v>8</v>
      </c>
      <c r="D179" s="9">
        <v>74553</v>
      </c>
      <c r="E179" s="12">
        <v>1</v>
      </c>
      <c r="F179" s="13">
        <f t="shared" si="0"/>
        <v>-74553</v>
      </c>
      <c r="G179" s="21">
        <v>44273</v>
      </c>
    </row>
    <row r="180" spans="1:7">
      <c r="A180" s="7">
        <v>0.33339120370370373</v>
      </c>
      <c r="B180" s="4" t="s">
        <v>23</v>
      </c>
      <c r="C180" s="4" t="s">
        <v>7</v>
      </c>
      <c r="D180" s="9">
        <v>73758</v>
      </c>
      <c r="E180" s="12">
        <v>1</v>
      </c>
      <c r="F180" s="13">
        <f t="shared" si="0"/>
        <v>73758</v>
      </c>
      <c r="G180" s="21">
        <v>44273</v>
      </c>
    </row>
    <row r="181" spans="1:7">
      <c r="A181" s="7">
        <v>0.33334490740740741</v>
      </c>
      <c r="B181" s="4" t="s">
        <v>21</v>
      </c>
      <c r="C181" s="4" t="s">
        <v>8</v>
      </c>
      <c r="D181" s="9">
        <v>74554</v>
      </c>
      <c r="E181" s="12">
        <v>1</v>
      </c>
      <c r="F181" s="13">
        <f t="shared" si="0"/>
        <v>-74554</v>
      </c>
      <c r="G181" s="21">
        <v>44273</v>
      </c>
    </row>
    <row r="182" spans="1:7">
      <c r="A182" s="7">
        <v>0.33334490740740741</v>
      </c>
      <c r="B182" s="4" t="s">
        <v>23</v>
      </c>
      <c r="C182" s="4" t="s">
        <v>7</v>
      </c>
      <c r="D182" s="9">
        <v>73759</v>
      </c>
      <c r="E182" s="12">
        <v>1</v>
      </c>
      <c r="F182" s="13">
        <f t="shared" si="0"/>
        <v>73759</v>
      </c>
      <c r="G182" s="21">
        <v>44273</v>
      </c>
    </row>
    <row r="183" spans="1:7">
      <c r="A183" s="7">
        <v>0.33225694444444442</v>
      </c>
      <c r="B183" s="4" t="s">
        <v>21</v>
      </c>
      <c r="C183" s="4" t="s">
        <v>8</v>
      </c>
      <c r="D183" s="9">
        <v>74554</v>
      </c>
      <c r="E183" s="12">
        <v>1</v>
      </c>
      <c r="F183" s="13">
        <f t="shared" si="0"/>
        <v>-74554</v>
      </c>
      <c r="G183" s="21">
        <v>44273</v>
      </c>
    </row>
    <row r="184" spans="1:7">
      <c r="A184" s="7">
        <v>0.33225694444444442</v>
      </c>
      <c r="B184" s="4" t="s">
        <v>23</v>
      </c>
      <c r="C184" s="4" t="s">
        <v>7</v>
      </c>
      <c r="D184" s="9">
        <v>73757</v>
      </c>
      <c r="E184" s="12">
        <v>1</v>
      </c>
      <c r="F184" s="13">
        <f t="shared" si="0"/>
        <v>73757</v>
      </c>
      <c r="G184" s="21">
        <v>44273</v>
      </c>
    </row>
    <row r="185" spans="1:7">
      <c r="A185" s="7">
        <v>0.33218750000000002</v>
      </c>
      <c r="B185" s="4" t="s">
        <v>21</v>
      </c>
      <c r="C185" s="4" t="s">
        <v>8</v>
      </c>
      <c r="D185" s="9">
        <v>74553</v>
      </c>
      <c r="E185" s="12">
        <v>1</v>
      </c>
      <c r="F185" s="13">
        <f t="shared" si="0"/>
        <v>-74553</v>
      </c>
      <c r="G185" s="21">
        <v>44273</v>
      </c>
    </row>
    <row r="186" spans="1:7">
      <c r="A186" s="7">
        <v>0.33218750000000002</v>
      </c>
      <c r="B186" s="4" t="s">
        <v>23</v>
      </c>
      <c r="C186" s="4" t="s">
        <v>7</v>
      </c>
      <c r="D186" s="9">
        <v>73756</v>
      </c>
      <c r="E186" s="12">
        <v>1</v>
      </c>
      <c r="F186" s="13">
        <f t="shared" si="0"/>
        <v>73756</v>
      </c>
      <c r="G186" s="21">
        <v>44273</v>
      </c>
    </row>
    <row r="187" spans="1:7">
      <c r="A187" s="7">
        <v>0.33210648148148147</v>
      </c>
      <c r="B187" s="4" t="s">
        <v>21</v>
      </c>
      <c r="C187" s="4" t="s">
        <v>8</v>
      </c>
      <c r="D187" s="9">
        <v>74553</v>
      </c>
      <c r="E187" s="12">
        <v>1</v>
      </c>
      <c r="F187" s="13">
        <f t="shared" si="0"/>
        <v>-74553</v>
      </c>
      <c r="G187" s="21">
        <v>44273</v>
      </c>
    </row>
    <row r="188" spans="1:7">
      <c r="A188" s="7">
        <v>0.33210648148148147</v>
      </c>
      <c r="B188" s="4" t="s">
        <v>23</v>
      </c>
      <c r="C188" s="4" t="s">
        <v>7</v>
      </c>
      <c r="D188" s="9">
        <v>73756</v>
      </c>
      <c r="E188" s="12">
        <v>1</v>
      </c>
      <c r="F188" s="13">
        <f t="shared" si="0"/>
        <v>73756</v>
      </c>
      <c r="G188" s="21">
        <v>44273</v>
      </c>
    </row>
    <row r="189" spans="1:7">
      <c r="A189" s="7">
        <v>0.33196759259259262</v>
      </c>
      <c r="B189" s="4" t="s">
        <v>21</v>
      </c>
      <c r="C189" s="4" t="s">
        <v>8</v>
      </c>
      <c r="D189" s="9">
        <v>74550</v>
      </c>
      <c r="E189" s="12">
        <v>1</v>
      </c>
      <c r="F189" s="13">
        <f t="shared" si="0"/>
        <v>-74550</v>
      </c>
      <c r="G189" s="21">
        <v>44273</v>
      </c>
    </row>
    <row r="190" spans="1:7">
      <c r="A190" s="7">
        <v>0.33196759259259262</v>
      </c>
      <c r="B190" s="4" t="s">
        <v>23</v>
      </c>
      <c r="C190" s="4" t="s">
        <v>7</v>
      </c>
      <c r="D190" s="9">
        <v>73753</v>
      </c>
      <c r="E190" s="12">
        <v>1</v>
      </c>
      <c r="F190" s="13">
        <f t="shared" si="0"/>
        <v>73753</v>
      </c>
      <c r="G190" s="21">
        <v>44273</v>
      </c>
    </row>
    <row r="191" spans="1:7">
      <c r="A191" s="7">
        <v>0.33196759259259262</v>
      </c>
      <c r="B191" s="4" t="s">
        <v>21</v>
      </c>
      <c r="C191" s="4" t="s">
        <v>8</v>
      </c>
      <c r="D191" s="9">
        <v>74550</v>
      </c>
      <c r="E191" s="12">
        <v>1</v>
      </c>
      <c r="F191" s="13">
        <f t="shared" si="0"/>
        <v>-74550</v>
      </c>
      <c r="G191" s="21">
        <v>44273</v>
      </c>
    </row>
    <row r="192" spans="1:7">
      <c r="A192" s="7">
        <v>0.33196759259259262</v>
      </c>
      <c r="B192" s="4" t="s">
        <v>23</v>
      </c>
      <c r="C192" s="4" t="s">
        <v>7</v>
      </c>
      <c r="D192" s="9">
        <v>73752</v>
      </c>
      <c r="E192" s="12">
        <v>1</v>
      </c>
      <c r="F192" s="13">
        <f t="shared" si="0"/>
        <v>73752</v>
      </c>
      <c r="G192" s="21">
        <v>44273</v>
      </c>
    </row>
    <row r="193" spans="1:7">
      <c r="A193" s="7">
        <v>0.33174768518518516</v>
      </c>
      <c r="B193" s="4" t="s">
        <v>21</v>
      </c>
      <c r="C193" s="4" t="s">
        <v>8</v>
      </c>
      <c r="D193" s="9">
        <v>74531</v>
      </c>
      <c r="E193" s="12">
        <v>1</v>
      </c>
      <c r="F193" s="13">
        <f t="shared" si="0"/>
        <v>-74531</v>
      </c>
      <c r="G193" s="21">
        <v>44273</v>
      </c>
    </row>
    <row r="194" spans="1:7">
      <c r="A194" s="7">
        <v>0.33174768518518516</v>
      </c>
      <c r="B194" s="4" t="s">
        <v>23</v>
      </c>
      <c r="C194" s="4" t="s">
        <v>7</v>
      </c>
      <c r="D194" s="9">
        <v>73734</v>
      </c>
      <c r="E194" s="12">
        <v>1</v>
      </c>
      <c r="F194" s="13">
        <f t="shared" si="0"/>
        <v>73734</v>
      </c>
      <c r="G194" s="21">
        <v>44273</v>
      </c>
    </row>
    <row r="195" spans="1:7">
      <c r="A195" s="7">
        <v>0.33141203703703703</v>
      </c>
      <c r="B195" s="4" t="s">
        <v>21</v>
      </c>
      <c r="C195" s="4" t="s">
        <v>8</v>
      </c>
      <c r="D195" s="9">
        <v>74536</v>
      </c>
      <c r="E195" s="12">
        <v>1</v>
      </c>
      <c r="F195" s="13">
        <f t="shared" si="0"/>
        <v>-74536</v>
      </c>
      <c r="G195" s="21">
        <v>44273</v>
      </c>
    </row>
    <row r="196" spans="1:7">
      <c r="A196" s="7">
        <v>0.33141203703703703</v>
      </c>
      <c r="B196" s="4" t="s">
        <v>23</v>
      </c>
      <c r="C196" s="4" t="s">
        <v>7</v>
      </c>
      <c r="D196" s="9">
        <v>73739</v>
      </c>
      <c r="E196" s="12">
        <v>1</v>
      </c>
      <c r="F196" s="13">
        <f t="shared" si="0"/>
        <v>73739</v>
      </c>
      <c r="G196" s="21">
        <v>44273</v>
      </c>
    </row>
    <row r="197" spans="1:7">
      <c r="A197" s="7">
        <v>0.33141203703703703</v>
      </c>
      <c r="B197" s="4" t="s">
        <v>21</v>
      </c>
      <c r="C197" s="4" t="s">
        <v>8</v>
      </c>
      <c r="D197" s="9">
        <v>74535</v>
      </c>
      <c r="E197" s="12">
        <v>1</v>
      </c>
      <c r="F197" s="13">
        <f t="shared" si="0"/>
        <v>-74535</v>
      </c>
      <c r="G197" s="21">
        <v>44273</v>
      </c>
    </row>
    <row r="198" spans="1:7">
      <c r="A198" s="7">
        <v>0.33141203703703703</v>
      </c>
      <c r="B198" s="4" t="s">
        <v>23</v>
      </c>
      <c r="C198" s="4" t="s">
        <v>7</v>
      </c>
      <c r="D198" s="9">
        <v>73738</v>
      </c>
      <c r="E198" s="12">
        <v>1</v>
      </c>
      <c r="F198" s="13">
        <f t="shared" si="0"/>
        <v>73738</v>
      </c>
      <c r="G198" s="21">
        <v>44273</v>
      </c>
    </row>
    <row r="199" spans="1:7">
      <c r="A199" s="7">
        <v>0.33141203703703703</v>
      </c>
      <c r="B199" s="4" t="s">
        <v>21</v>
      </c>
      <c r="C199" s="4" t="s">
        <v>8</v>
      </c>
      <c r="D199" s="9">
        <v>74536</v>
      </c>
      <c r="E199" s="12">
        <v>1</v>
      </c>
      <c r="F199" s="13">
        <f t="shared" si="0"/>
        <v>-74536</v>
      </c>
      <c r="G199" s="21">
        <v>44273</v>
      </c>
    </row>
    <row r="200" spans="1:7">
      <c r="A200" s="7">
        <v>0.33141203703703703</v>
      </c>
      <c r="B200" s="4" t="s">
        <v>23</v>
      </c>
      <c r="C200" s="4" t="s">
        <v>7</v>
      </c>
      <c r="D200" s="9">
        <v>73739</v>
      </c>
      <c r="E200" s="12">
        <v>1</v>
      </c>
      <c r="F200" s="13">
        <f t="shared" si="0"/>
        <v>73739</v>
      </c>
      <c r="G200" s="21">
        <v>44273</v>
      </c>
    </row>
    <row r="201" spans="1:7">
      <c r="A201" s="7">
        <v>0.33141203703703703</v>
      </c>
      <c r="B201" s="4" t="s">
        <v>21</v>
      </c>
      <c r="C201" s="4" t="s">
        <v>8</v>
      </c>
      <c r="D201" s="9">
        <v>74536</v>
      </c>
      <c r="E201" s="12">
        <v>1</v>
      </c>
      <c r="F201" s="13">
        <f t="shared" si="0"/>
        <v>-74536</v>
      </c>
      <c r="G201" s="21">
        <v>44273</v>
      </c>
    </row>
    <row r="202" spans="1:7">
      <c r="A202" s="7">
        <v>0.33141203703703703</v>
      </c>
      <c r="B202" s="4" t="s">
        <v>23</v>
      </c>
      <c r="C202" s="4" t="s">
        <v>7</v>
      </c>
      <c r="D202" s="9">
        <v>73739</v>
      </c>
      <c r="E202" s="12">
        <v>1</v>
      </c>
      <c r="F202" s="13">
        <f t="shared" si="0"/>
        <v>73739</v>
      </c>
      <c r="G202" s="21">
        <v>44273</v>
      </c>
    </row>
    <row r="203" spans="1:7">
      <c r="A203" s="7">
        <v>0.33141203703703703</v>
      </c>
      <c r="B203" s="4" t="s">
        <v>21</v>
      </c>
      <c r="C203" s="4" t="s">
        <v>8</v>
      </c>
      <c r="D203" s="9">
        <v>74536</v>
      </c>
      <c r="E203" s="12">
        <v>1</v>
      </c>
      <c r="F203" s="13">
        <f t="shared" si="0"/>
        <v>-74536</v>
      </c>
      <c r="G203" s="21">
        <v>44273</v>
      </c>
    </row>
    <row r="204" spans="1:7">
      <c r="A204" s="7">
        <v>0.33141203703703703</v>
      </c>
      <c r="B204" s="4" t="s">
        <v>23</v>
      </c>
      <c r="C204" s="4" t="s">
        <v>7</v>
      </c>
      <c r="D204" s="9">
        <v>73739</v>
      </c>
      <c r="E204" s="12">
        <v>1</v>
      </c>
      <c r="F204" s="13">
        <f t="shared" si="0"/>
        <v>73739</v>
      </c>
      <c r="G204" s="21">
        <v>44273</v>
      </c>
    </row>
    <row r="205" spans="1:7">
      <c r="A205" s="7">
        <v>0.33118055555555553</v>
      </c>
      <c r="B205" s="4" t="s">
        <v>21</v>
      </c>
      <c r="C205" s="4" t="s">
        <v>8</v>
      </c>
      <c r="D205" s="9">
        <v>74538</v>
      </c>
      <c r="E205" s="12">
        <v>1</v>
      </c>
      <c r="F205" s="13">
        <f t="shared" si="0"/>
        <v>-74538</v>
      </c>
      <c r="G205" s="21">
        <v>44273</v>
      </c>
    </row>
    <row r="206" spans="1:7">
      <c r="A206" s="7">
        <v>0.33118055555555553</v>
      </c>
      <c r="B206" s="4" t="s">
        <v>23</v>
      </c>
      <c r="C206" s="4" t="s">
        <v>7</v>
      </c>
      <c r="D206" s="9">
        <v>73741</v>
      </c>
      <c r="E206" s="12">
        <v>1</v>
      </c>
      <c r="F206" s="13">
        <f t="shared" si="0"/>
        <v>73741</v>
      </c>
      <c r="G206" s="21">
        <v>44273</v>
      </c>
    </row>
    <row r="207" spans="1:7">
      <c r="A207" s="7">
        <v>0.33118055555555553</v>
      </c>
      <c r="B207" s="4" t="s">
        <v>21</v>
      </c>
      <c r="C207" s="4" t="s">
        <v>8</v>
      </c>
      <c r="D207" s="9">
        <v>74538</v>
      </c>
      <c r="E207" s="12">
        <v>1</v>
      </c>
      <c r="F207" s="13">
        <f t="shared" si="0"/>
        <v>-74538</v>
      </c>
      <c r="G207" s="21">
        <v>44273</v>
      </c>
    </row>
    <row r="208" spans="1:7">
      <c r="A208" s="7">
        <v>0.33118055555555553</v>
      </c>
      <c r="B208" s="4" t="s">
        <v>23</v>
      </c>
      <c r="C208" s="4" t="s">
        <v>7</v>
      </c>
      <c r="D208" s="9">
        <v>73741</v>
      </c>
      <c r="E208" s="12">
        <v>1</v>
      </c>
      <c r="F208" s="13">
        <f t="shared" si="0"/>
        <v>73741</v>
      </c>
      <c r="G208" s="21">
        <v>44273</v>
      </c>
    </row>
    <row r="209" spans="1:7">
      <c r="A209" s="7">
        <v>0.33118055555555553</v>
      </c>
      <c r="B209" s="4" t="s">
        <v>21</v>
      </c>
      <c r="C209" s="4" t="s">
        <v>8</v>
      </c>
      <c r="D209" s="9">
        <v>74538</v>
      </c>
      <c r="E209" s="12">
        <v>1</v>
      </c>
      <c r="F209" s="13">
        <f t="shared" si="0"/>
        <v>-74538</v>
      </c>
      <c r="G209" s="21">
        <v>44273</v>
      </c>
    </row>
    <row r="210" spans="1:7">
      <c r="A210" s="7">
        <v>0.33118055555555553</v>
      </c>
      <c r="B210" s="4" t="s">
        <v>23</v>
      </c>
      <c r="C210" s="4" t="s">
        <v>7</v>
      </c>
      <c r="D210" s="9">
        <v>73741</v>
      </c>
      <c r="E210" s="12">
        <v>1</v>
      </c>
      <c r="F210" s="13">
        <f t="shared" si="0"/>
        <v>73741</v>
      </c>
      <c r="G210" s="21">
        <v>44273</v>
      </c>
    </row>
    <row r="211" spans="1:7">
      <c r="A211" s="7">
        <v>0.3309259259259259</v>
      </c>
      <c r="B211" s="4" t="s">
        <v>21</v>
      </c>
      <c r="C211" s="4" t="s">
        <v>8</v>
      </c>
      <c r="D211" s="9">
        <v>74541</v>
      </c>
      <c r="E211" s="12">
        <v>1</v>
      </c>
      <c r="F211" s="13">
        <f t="shared" si="0"/>
        <v>-74541</v>
      </c>
      <c r="G211" s="21">
        <v>44273</v>
      </c>
    </row>
    <row r="212" spans="1:7">
      <c r="A212" s="7">
        <v>0.3309259259259259</v>
      </c>
      <c r="B212" s="4" t="s">
        <v>23</v>
      </c>
      <c r="C212" s="4" t="s">
        <v>7</v>
      </c>
      <c r="D212" s="9">
        <v>73744</v>
      </c>
      <c r="E212" s="12">
        <v>1</v>
      </c>
      <c r="F212" s="13">
        <f t="shared" si="0"/>
        <v>73744</v>
      </c>
      <c r="G212" s="21">
        <v>44273</v>
      </c>
    </row>
    <row r="213" spans="1:7">
      <c r="A213" s="7">
        <v>0.33081018518518518</v>
      </c>
      <c r="B213" s="4" t="s">
        <v>21</v>
      </c>
      <c r="C213" s="4" t="s">
        <v>8</v>
      </c>
      <c r="D213" s="9">
        <v>74540</v>
      </c>
      <c r="E213" s="12">
        <v>1</v>
      </c>
      <c r="F213" s="13">
        <f t="shared" si="0"/>
        <v>-74540</v>
      </c>
      <c r="G213" s="21">
        <v>44273</v>
      </c>
    </row>
    <row r="214" spans="1:7">
      <c r="A214" s="7">
        <v>0.33081018518518518</v>
      </c>
      <c r="B214" s="4" t="s">
        <v>23</v>
      </c>
      <c r="C214" s="4" t="s">
        <v>7</v>
      </c>
      <c r="D214" s="9">
        <v>73743</v>
      </c>
      <c r="E214" s="12">
        <v>1</v>
      </c>
      <c r="F214" s="13">
        <f t="shared" si="0"/>
        <v>73743</v>
      </c>
      <c r="G214" s="21">
        <v>44273</v>
      </c>
    </row>
    <row r="215" spans="1:7">
      <c r="A215" s="7">
        <v>0.33081018518518518</v>
      </c>
      <c r="B215" s="4" t="s">
        <v>21</v>
      </c>
      <c r="C215" s="4" t="s">
        <v>8</v>
      </c>
      <c r="D215" s="9">
        <v>74541</v>
      </c>
      <c r="E215" s="12">
        <v>1</v>
      </c>
      <c r="F215" s="13">
        <f t="shared" si="0"/>
        <v>-74541</v>
      </c>
      <c r="G215" s="21">
        <v>44273</v>
      </c>
    </row>
    <row r="216" spans="1:7">
      <c r="A216" s="7">
        <v>0.33081018518518518</v>
      </c>
      <c r="B216" s="4" t="s">
        <v>23</v>
      </c>
      <c r="C216" s="4" t="s">
        <v>7</v>
      </c>
      <c r="D216" s="9">
        <v>73744</v>
      </c>
      <c r="E216" s="12">
        <v>1</v>
      </c>
      <c r="F216" s="13">
        <f t="shared" si="0"/>
        <v>73744</v>
      </c>
      <c r="G216" s="21">
        <v>44273</v>
      </c>
    </row>
    <row r="217" spans="1:7">
      <c r="A217" s="7">
        <v>0.33079861111111108</v>
      </c>
      <c r="B217" s="4" t="s">
        <v>21</v>
      </c>
      <c r="C217" s="4" t="s">
        <v>8</v>
      </c>
      <c r="D217" s="9">
        <v>74541</v>
      </c>
      <c r="E217" s="12">
        <v>1</v>
      </c>
      <c r="F217" s="13">
        <f t="shared" si="0"/>
        <v>-74541</v>
      </c>
      <c r="G217" s="21">
        <v>44273</v>
      </c>
    </row>
    <row r="218" spans="1:7">
      <c r="A218" s="7">
        <v>0.33079861111111108</v>
      </c>
      <c r="B218" s="4" t="s">
        <v>23</v>
      </c>
      <c r="C218" s="4" t="s">
        <v>7</v>
      </c>
      <c r="D218" s="9">
        <v>73744</v>
      </c>
      <c r="E218" s="12">
        <v>1</v>
      </c>
      <c r="F218" s="13">
        <f t="shared" si="0"/>
        <v>73744</v>
      </c>
      <c r="G218" s="21">
        <v>44273</v>
      </c>
    </row>
    <row r="219" spans="1:7">
      <c r="A219" s="7">
        <v>0.33071759259259259</v>
      </c>
      <c r="B219" s="4" t="s">
        <v>21</v>
      </c>
      <c r="C219" s="4" t="s">
        <v>8</v>
      </c>
      <c r="D219" s="9">
        <v>74547</v>
      </c>
      <c r="E219" s="12">
        <v>1</v>
      </c>
      <c r="F219" s="13">
        <f t="shared" si="0"/>
        <v>-74547</v>
      </c>
      <c r="G219" s="21">
        <v>44273</v>
      </c>
    </row>
    <row r="220" spans="1:7">
      <c r="A220" s="7">
        <v>0.33071759259259259</v>
      </c>
      <c r="B220" s="4" t="s">
        <v>23</v>
      </c>
      <c r="C220" s="4" t="s">
        <v>7</v>
      </c>
      <c r="D220" s="9">
        <v>73750</v>
      </c>
      <c r="E220" s="12">
        <v>1</v>
      </c>
      <c r="F220" s="13">
        <f t="shared" si="0"/>
        <v>73750</v>
      </c>
      <c r="G220" s="21">
        <v>44273</v>
      </c>
    </row>
    <row r="221" spans="1:7">
      <c r="A221" s="7">
        <v>0.33068287037037036</v>
      </c>
      <c r="B221" s="4" t="s">
        <v>21</v>
      </c>
      <c r="C221" s="4" t="s">
        <v>8</v>
      </c>
      <c r="D221" s="9">
        <v>74547</v>
      </c>
      <c r="E221" s="12">
        <v>1</v>
      </c>
      <c r="F221" s="13">
        <f t="shared" si="0"/>
        <v>-74547</v>
      </c>
      <c r="G221" s="21">
        <v>44273</v>
      </c>
    </row>
    <row r="222" spans="1:7">
      <c r="A222" s="7">
        <v>0.33068287037037036</v>
      </c>
      <c r="B222" s="4" t="s">
        <v>23</v>
      </c>
      <c r="C222" s="4" t="s">
        <v>7</v>
      </c>
      <c r="D222" s="9">
        <v>73750</v>
      </c>
      <c r="E222" s="12">
        <v>1</v>
      </c>
      <c r="F222" s="13">
        <f t="shared" si="0"/>
        <v>73750</v>
      </c>
      <c r="G222" s="21">
        <v>44273</v>
      </c>
    </row>
    <row r="223" spans="1:7">
      <c r="A223" s="7">
        <v>0.33067129629629627</v>
      </c>
      <c r="B223" s="4" t="s">
        <v>21</v>
      </c>
      <c r="C223" s="4" t="s">
        <v>8</v>
      </c>
      <c r="D223" s="9">
        <v>74544</v>
      </c>
      <c r="E223" s="12">
        <v>1</v>
      </c>
      <c r="F223" s="13">
        <f t="shared" si="0"/>
        <v>-74544</v>
      </c>
      <c r="G223" s="21">
        <v>44273</v>
      </c>
    </row>
    <row r="224" spans="1:7">
      <c r="A224" s="7">
        <v>0.33067129629629627</v>
      </c>
      <c r="B224" s="4" t="s">
        <v>23</v>
      </c>
      <c r="C224" s="4" t="s">
        <v>7</v>
      </c>
      <c r="D224" s="9">
        <v>73747</v>
      </c>
      <c r="E224" s="12">
        <v>1</v>
      </c>
      <c r="F224" s="13">
        <f t="shared" si="0"/>
        <v>73747</v>
      </c>
      <c r="G224" s="21">
        <v>44273</v>
      </c>
    </row>
    <row r="225" spans="1:7">
      <c r="A225" s="7">
        <v>0.33060185185185187</v>
      </c>
      <c r="B225" s="4" t="s">
        <v>21</v>
      </c>
      <c r="C225" s="4" t="s">
        <v>8</v>
      </c>
      <c r="D225" s="9">
        <v>74547</v>
      </c>
      <c r="E225" s="12">
        <v>1</v>
      </c>
      <c r="F225" s="13">
        <f t="shared" si="0"/>
        <v>-74547</v>
      </c>
      <c r="G225" s="21">
        <v>44273</v>
      </c>
    </row>
    <row r="226" spans="1:7">
      <c r="A226" s="7">
        <v>0.33060185185185187</v>
      </c>
      <c r="B226" s="4" t="s">
        <v>23</v>
      </c>
      <c r="C226" s="4" t="s">
        <v>7</v>
      </c>
      <c r="D226" s="9">
        <v>73750</v>
      </c>
      <c r="E226" s="12">
        <v>1</v>
      </c>
      <c r="F226" s="13">
        <f t="shared" si="0"/>
        <v>73750</v>
      </c>
      <c r="G226" s="21">
        <v>44273</v>
      </c>
    </row>
    <row r="227" spans="1:7">
      <c r="A227" s="7">
        <v>0.33060185185185187</v>
      </c>
      <c r="B227" s="4" t="s">
        <v>21</v>
      </c>
      <c r="C227" s="4" t="s">
        <v>8</v>
      </c>
      <c r="D227" s="9">
        <v>74550</v>
      </c>
      <c r="E227" s="12">
        <v>1</v>
      </c>
      <c r="F227" s="13">
        <f t="shared" si="0"/>
        <v>-74550</v>
      </c>
      <c r="G227" s="21">
        <v>44273</v>
      </c>
    </row>
    <row r="228" spans="1:7">
      <c r="A228" s="7">
        <v>0.33060185185185187</v>
      </c>
      <c r="B228" s="4" t="s">
        <v>23</v>
      </c>
      <c r="C228" s="4" t="s">
        <v>7</v>
      </c>
      <c r="D228" s="9">
        <v>73753</v>
      </c>
      <c r="E228" s="12">
        <v>1</v>
      </c>
      <c r="F228" s="13">
        <f t="shared" si="0"/>
        <v>73753</v>
      </c>
      <c r="G228" s="21">
        <v>44273</v>
      </c>
    </row>
    <row r="229" spans="1:7">
      <c r="A229" s="7">
        <v>0.33060185185185187</v>
      </c>
      <c r="B229" s="4" t="s">
        <v>21</v>
      </c>
      <c r="C229" s="4" t="s">
        <v>8</v>
      </c>
      <c r="D229" s="9">
        <v>74550</v>
      </c>
      <c r="E229" s="12">
        <v>1</v>
      </c>
      <c r="F229" s="13">
        <f t="shared" si="0"/>
        <v>-74550</v>
      </c>
      <c r="G229" s="21">
        <v>44273</v>
      </c>
    </row>
    <row r="230" spans="1:7">
      <c r="A230" s="7">
        <v>0.33060185185185187</v>
      </c>
      <c r="B230" s="4" t="s">
        <v>23</v>
      </c>
      <c r="C230" s="4" t="s">
        <v>7</v>
      </c>
      <c r="D230" s="9">
        <v>73753</v>
      </c>
      <c r="E230" s="12">
        <v>1</v>
      </c>
      <c r="F230" s="13">
        <f t="shared" si="0"/>
        <v>73753</v>
      </c>
      <c r="G230" s="21">
        <v>44273</v>
      </c>
    </row>
    <row r="231" spans="1:7">
      <c r="A231" s="7">
        <v>0.33060185185185187</v>
      </c>
      <c r="B231" s="4" t="s">
        <v>21</v>
      </c>
      <c r="C231" s="4" t="s">
        <v>8</v>
      </c>
      <c r="D231" s="9">
        <v>74547</v>
      </c>
      <c r="E231" s="12">
        <v>1</v>
      </c>
      <c r="F231" s="13">
        <f t="shared" si="0"/>
        <v>-74547</v>
      </c>
      <c r="G231" s="21">
        <v>44273</v>
      </c>
    </row>
    <row r="232" spans="1:7">
      <c r="A232" s="7">
        <v>0.33060185185185187</v>
      </c>
      <c r="B232" s="4" t="s">
        <v>23</v>
      </c>
      <c r="C232" s="4" t="s">
        <v>7</v>
      </c>
      <c r="D232" s="9">
        <v>73750</v>
      </c>
      <c r="E232" s="12">
        <v>1</v>
      </c>
      <c r="F232" s="13">
        <f t="shared" si="0"/>
        <v>73750</v>
      </c>
      <c r="G232" s="21">
        <v>44273</v>
      </c>
    </row>
    <row r="233" spans="1:7">
      <c r="A233" s="7">
        <v>0.33059027777777777</v>
      </c>
      <c r="B233" s="4" t="s">
        <v>21</v>
      </c>
      <c r="C233" s="4" t="s">
        <v>8</v>
      </c>
      <c r="D233" s="9">
        <v>74552</v>
      </c>
      <c r="E233" s="12">
        <v>1</v>
      </c>
      <c r="F233" s="13">
        <f t="shared" si="0"/>
        <v>-74552</v>
      </c>
      <c r="G233" s="21">
        <v>44273</v>
      </c>
    </row>
    <row r="234" spans="1:7">
      <c r="A234" s="7">
        <v>0.33059027777777777</v>
      </c>
      <c r="B234" s="4" t="s">
        <v>23</v>
      </c>
      <c r="C234" s="4" t="s">
        <v>7</v>
      </c>
      <c r="D234" s="9">
        <v>73755</v>
      </c>
      <c r="E234" s="12">
        <v>1</v>
      </c>
      <c r="F234" s="13">
        <f t="shared" si="0"/>
        <v>73755</v>
      </c>
      <c r="G234" s="21">
        <v>44273</v>
      </c>
    </row>
    <row r="235" spans="1:7">
      <c r="A235" s="7">
        <v>0.33059027777777777</v>
      </c>
      <c r="B235" s="4" t="s">
        <v>21</v>
      </c>
      <c r="C235" s="4" t="s">
        <v>8</v>
      </c>
      <c r="D235" s="9">
        <v>74549</v>
      </c>
      <c r="E235" s="12">
        <v>1</v>
      </c>
      <c r="F235" s="13">
        <f t="shared" si="0"/>
        <v>-74549</v>
      </c>
      <c r="G235" s="21">
        <v>44273</v>
      </c>
    </row>
    <row r="236" spans="1:7">
      <c r="A236" s="7">
        <v>0.33059027777777777</v>
      </c>
      <c r="B236" s="4" t="s">
        <v>23</v>
      </c>
      <c r="C236" s="4" t="s">
        <v>7</v>
      </c>
      <c r="D236" s="9">
        <v>73752</v>
      </c>
      <c r="E236" s="12">
        <v>1</v>
      </c>
      <c r="F236" s="13">
        <f t="shared" si="0"/>
        <v>73752</v>
      </c>
      <c r="G236" s="21">
        <v>44273</v>
      </c>
    </row>
    <row r="237" spans="1:7">
      <c r="A237" s="7">
        <v>0.33059027777777777</v>
      </c>
      <c r="B237" s="4" t="s">
        <v>21</v>
      </c>
      <c r="C237" s="4" t="s">
        <v>8</v>
      </c>
      <c r="D237" s="9">
        <v>74548</v>
      </c>
      <c r="E237" s="12">
        <v>1</v>
      </c>
      <c r="F237" s="13">
        <f t="shared" si="0"/>
        <v>-74548</v>
      </c>
      <c r="G237" s="21">
        <v>44273</v>
      </c>
    </row>
    <row r="238" spans="1:7">
      <c r="A238" s="7">
        <v>0.33059027777777777</v>
      </c>
      <c r="B238" s="4" t="s">
        <v>23</v>
      </c>
      <c r="C238" s="4" t="s">
        <v>7</v>
      </c>
      <c r="D238" s="9">
        <v>73751</v>
      </c>
      <c r="E238" s="12">
        <v>1</v>
      </c>
      <c r="F238" s="13">
        <f t="shared" si="0"/>
        <v>73751</v>
      </c>
      <c r="G238" s="21">
        <v>44273</v>
      </c>
    </row>
    <row r="239" spans="1:7">
      <c r="A239" s="7">
        <v>0.33059027777777777</v>
      </c>
      <c r="B239" s="4" t="s">
        <v>21</v>
      </c>
      <c r="C239" s="4" t="s">
        <v>8</v>
      </c>
      <c r="D239" s="9">
        <v>74548</v>
      </c>
      <c r="E239" s="12">
        <v>1</v>
      </c>
      <c r="F239" s="13">
        <f t="shared" si="0"/>
        <v>-74548</v>
      </c>
      <c r="G239" s="21">
        <v>44273</v>
      </c>
    </row>
    <row r="240" spans="1:7">
      <c r="A240" s="7">
        <v>0.33059027777777777</v>
      </c>
      <c r="B240" s="4" t="s">
        <v>23</v>
      </c>
      <c r="C240" s="4" t="s">
        <v>7</v>
      </c>
      <c r="D240" s="9">
        <v>73751</v>
      </c>
      <c r="E240" s="12">
        <v>1</v>
      </c>
      <c r="F240" s="13">
        <f t="shared" si="0"/>
        <v>73751</v>
      </c>
      <c r="G240" s="21">
        <v>44273</v>
      </c>
    </row>
    <row r="241" spans="1:7">
      <c r="A241" s="7">
        <v>0.33057870370370368</v>
      </c>
      <c r="B241" s="4" t="s">
        <v>21</v>
      </c>
      <c r="C241" s="4" t="s">
        <v>8</v>
      </c>
      <c r="D241" s="9">
        <v>74554</v>
      </c>
      <c r="E241" s="12">
        <v>1</v>
      </c>
      <c r="F241" s="13">
        <f t="shared" si="0"/>
        <v>-74554</v>
      </c>
      <c r="G241" s="21">
        <v>44273</v>
      </c>
    </row>
    <row r="242" spans="1:7">
      <c r="A242" s="7">
        <v>0.33055555555555555</v>
      </c>
      <c r="B242" s="4" t="s">
        <v>23</v>
      </c>
      <c r="C242" s="4" t="s">
        <v>7</v>
      </c>
      <c r="D242" s="9">
        <v>73756</v>
      </c>
      <c r="E242" s="12">
        <v>1</v>
      </c>
      <c r="F242" s="13">
        <f t="shared" si="0"/>
        <v>73756</v>
      </c>
      <c r="G242" s="21">
        <v>44273</v>
      </c>
    </row>
    <row r="243" spans="1:7">
      <c r="A243" s="7">
        <v>0.33055555555555555</v>
      </c>
      <c r="B243" s="4" t="s">
        <v>21</v>
      </c>
      <c r="C243" s="4" t="s">
        <v>8</v>
      </c>
      <c r="D243" s="9">
        <v>74553</v>
      </c>
      <c r="E243" s="12">
        <v>1</v>
      </c>
      <c r="F243" s="13">
        <f t="shared" si="0"/>
        <v>-74553</v>
      </c>
      <c r="G243" s="21">
        <v>44273</v>
      </c>
    </row>
    <row r="244" spans="1:7">
      <c r="A244" s="7">
        <v>0.33055555555555555</v>
      </c>
      <c r="B244" s="4" t="s">
        <v>23</v>
      </c>
      <c r="C244" s="4" t="s">
        <v>7</v>
      </c>
      <c r="D244" s="9">
        <v>73756</v>
      </c>
      <c r="E244" s="12">
        <v>1</v>
      </c>
      <c r="F244" s="13">
        <f t="shared" si="0"/>
        <v>73756</v>
      </c>
      <c r="G244" s="21">
        <v>44273</v>
      </c>
    </row>
    <row r="245" spans="1:7">
      <c r="A245" s="7">
        <v>0.33055555555555555</v>
      </c>
      <c r="B245" s="4" t="s">
        <v>21</v>
      </c>
      <c r="C245" s="4" t="s">
        <v>8</v>
      </c>
      <c r="D245" s="9">
        <v>74554</v>
      </c>
      <c r="E245" s="12">
        <v>1</v>
      </c>
      <c r="F245" s="13">
        <f t="shared" si="0"/>
        <v>-74554</v>
      </c>
      <c r="G245" s="21">
        <v>44273</v>
      </c>
    </row>
    <row r="246" spans="1:7">
      <c r="A246" s="7">
        <v>0.33055555555555555</v>
      </c>
      <c r="B246" s="4" t="s">
        <v>23</v>
      </c>
      <c r="C246" s="4" t="s">
        <v>7</v>
      </c>
      <c r="D246" s="9">
        <v>73757</v>
      </c>
      <c r="E246" s="12">
        <v>1</v>
      </c>
      <c r="F246" s="13">
        <f t="shared" si="0"/>
        <v>73757</v>
      </c>
      <c r="G246" s="21">
        <v>44273</v>
      </c>
    </row>
    <row r="247" spans="1:7">
      <c r="A247" s="7">
        <v>0.33055555555555555</v>
      </c>
      <c r="B247" s="4" t="s">
        <v>21</v>
      </c>
      <c r="C247" s="4" t="s">
        <v>8</v>
      </c>
      <c r="D247" s="9">
        <v>74554</v>
      </c>
      <c r="E247" s="12">
        <v>1</v>
      </c>
      <c r="F247" s="13">
        <f t="shared" si="0"/>
        <v>-74554</v>
      </c>
      <c r="G247" s="21">
        <v>44273</v>
      </c>
    </row>
    <row r="248" spans="1:7">
      <c r="A248" s="7">
        <v>0.33055555555555555</v>
      </c>
      <c r="B248" s="4" t="s">
        <v>23</v>
      </c>
      <c r="C248" s="4" t="s">
        <v>7</v>
      </c>
      <c r="D248" s="9">
        <v>73757</v>
      </c>
      <c r="E248" s="12">
        <v>1</v>
      </c>
      <c r="F248" s="13">
        <f t="shared" si="0"/>
        <v>73757</v>
      </c>
      <c r="G248" s="21">
        <v>44273</v>
      </c>
    </row>
    <row r="249" spans="1:7">
      <c r="A249" s="7">
        <v>0.33055555555555555</v>
      </c>
      <c r="B249" s="4" t="s">
        <v>21</v>
      </c>
      <c r="C249" s="4" t="s">
        <v>8</v>
      </c>
      <c r="D249" s="9">
        <v>74554</v>
      </c>
      <c r="E249" s="12">
        <v>1</v>
      </c>
      <c r="F249" s="13">
        <f t="shared" si="0"/>
        <v>-74554</v>
      </c>
      <c r="G249" s="21">
        <v>44273</v>
      </c>
    </row>
    <row r="250" spans="1:7">
      <c r="A250" s="7">
        <v>0.33055555555555555</v>
      </c>
      <c r="B250" s="4" t="s">
        <v>23</v>
      </c>
      <c r="C250" s="4" t="s">
        <v>7</v>
      </c>
      <c r="D250" s="9">
        <v>73757</v>
      </c>
      <c r="E250" s="12">
        <v>1</v>
      </c>
      <c r="F250" s="13">
        <f t="shared" si="0"/>
        <v>73757</v>
      </c>
      <c r="G250" s="21">
        <v>44273</v>
      </c>
    </row>
    <row r="251" spans="1:7">
      <c r="A251" s="7">
        <v>0.33055555555555555</v>
      </c>
      <c r="B251" s="4" t="s">
        <v>21</v>
      </c>
      <c r="C251" s="4" t="s">
        <v>8</v>
      </c>
      <c r="D251" s="9">
        <v>74554</v>
      </c>
      <c r="E251" s="12">
        <v>1</v>
      </c>
      <c r="F251" s="13">
        <f t="shared" si="0"/>
        <v>-74554</v>
      </c>
      <c r="G251" s="21">
        <v>44273</v>
      </c>
    </row>
    <row r="252" spans="1:7">
      <c r="A252" s="7">
        <v>0.33055555555555555</v>
      </c>
      <c r="B252" s="4" t="s">
        <v>23</v>
      </c>
      <c r="C252" s="4" t="s">
        <v>7</v>
      </c>
      <c r="D252" s="9">
        <v>73757</v>
      </c>
      <c r="E252" s="12">
        <v>1</v>
      </c>
      <c r="F252" s="13">
        <f t="shared" si="0"/>
        <v>73757</v>
      </c>
      <c r="G252" s="21">
        <v>44273</v>
      </c>
    </row>
    <row r="253" spans="1:7">
      <c r="A253" s="7">
        <v>0.33055555555555555</v>
      </c>
      <c r="B253" s="4" t="s">
        <v>21</v>
      </c>
      <c r="C253" s="4" t="s">
        <v>8</v>
      </c>
      <c r="D253" s="9">
        <v>74554</v>
      </c>
      <c r="E253" s="12">
        <v>1</v>
      </c>
      <c r="F253" s="13">
        <f t="shared" si="0"/>
        <v>-74554</v>
      </c>
      <c r="G253" s="21">
        <v>44273</v>
      </c>
    </row>
    <row r="254" spans="1:7">
      <c r="A254" s="7">
        <v>0.33055555555555555</v>
      </c>
      <c r="B254" s="4" t="s">
        <v>23</v>
      </c>
      <c r="C254" s="4" t="s">
        <v>7</v>
      </c>
      <c r="D254" s="9">
        <v>73757</v>
      </c>
      <c r="E254" s="12">
        <v>1</v>
      </c>
      <c r="F254" s="13">
        <f t="shared" si="0"/>
        <v>73757</v>
      </c>
      <c r="G254" s="21">
        <v>44273</v>
      </c>
    </row>
    <row r="255" spans="1:7">
      <c r="A255" s="7">
        <v>0.33055555555555555</v>
      </c>
      <c r="B255" s="4" t="s">
        <v>21</v>
      </c>
      <c r="C255" s="4" t="s">
        <v>8</v>
      </c>
      <c r="D255" s="9">
        <v>74554</v>
      </c>
      <c r="E255" s="12">
        <v>1</v>
      </c>
      <c r="F255" s="13">
        <f t="shared" si="0"/>
        <v>-74554</v>
      </c>
      <c r="G255" s="21">
        <v>44273</v>
      </c>
    </row>
    <row r="256" spans="1:7">
      <c r="A256" s="7">
        <v>0.33055555555555555</v>
      </c>
      <c r="B256" s="4" t="s">
        <v>23</v>
      </c>
      <c r="C256" s="4" t="s">
        <v>7</v>
      </c>
      <c r="D256" s="9">
        <v>73757</v>
      </c>
      <c r="E256" s="12">
        <v>1</v>
      </c>
      <c r="F256" s="13">
        <f t="shared" si="0"/>
        <v>73757</v>
      </c>
      <c r="G256" s="21">
        <v>44273</v>
      </c>
    </row>
    <row r="257" spans="1:7">
      <c r="A257" s="7">
        <v>0.33055555555555555</v>
      </c>
      <c r="B257" s="4" t="s">
        <v>21</v>
      </c>
      <c r="C257" s="4" t="s">
        <v>8</v>
      </c>
      <c r="D257" s="9">
        <v>74553</v>
      </c>
      <c r="E257" s="12">
        <v>1</v>
      </c>
      <c r="F257" s="13">
        <f t="shared" si="0"/>
        <v>-74553</v>
      </c>
      <c r="G257" s="21">
        <v>44273</v>
      </c>
    </row>
    <row r="258" spans="1:7">
      <c r="A258" s="7">
        <v>0.33055555555555555</v>
      </c>
      <c r="B258" s="4" t="s">
        <v>23</v>
      </c>
      <c r="C258" s="4" t="s">
        <v>7</v>
      </c>
      <c r="D258" s="9">
        <v>73756</v>
      </c>
      <c r="E258" s="12">
        <v>1</v>
      </c>
      <c r="F258" s="13">
        <f t="shared" si="0"/>
        <v>73756</v>
      </c>
      <c r="G258" s="21">
        <v>44273</v>
      </c>
    </row>
    <row r="259" spans="1:7">
      <c r="A259" s="7">
        <v>0.33055555555555555</v>
      </c>
      <c r="B259" s="4" t="s">
        <v>21</v>
      </c>
      <c r="C259" s="4" t="s">
        <v>8</v>
      </c>
      <c r="D259" s="9">
        <v>74553</v>
      </c>
      <c r="E259" s="12">
        <v>1</v>
      </c>
      <c r="F259" s="13">
        <f t="shared" si="0"/>
        <v>-74553</v>
      </c>
      <c r="G259" s="21">
        <v>44273</v>
      </c>
    </row>
    <row r="260" spans="1:7">
      <c r="A260" s="7">
        <v>0.33055555555555555</v>
      </c>
      <c r="B260" s="4" t="s">
        <v>23</v>
      </c>
      <c r="C260" s="4" t="s">
        <v>7</v>
      </c>
      <c r="D260" s="9">
        <v>73756</v>
      </c>
      <c r="E260" s="12">
        <v>1</v>
      </c>
      <c r="F260" s="13">
        <f t="shared" si="0"/>
        <v>73756</v>
      </c>
      <c r="G260" s="21">
        <v>44273</v>
      </c>
    </row>
    <row r="261" spans="1:7">
      <c r="A261" s="7">
        <v>0.33052083333333332</v>
      </c>
      <c r="B261" s="4" t="s">
        <v>21</v>
      </c>
      <c r="C261" s="4" t="s">
        <v>8</v>
      </c>
      <c r="D261" s="9">
        <v>74552</v>
      </c>
      <c r="E261" s="12">
        <v>1</v>
      </c>
      <c r="F261" s="13">
        <f t="shared" si="0"/>
        <v>-74552</v>
      </c>
      <c r="G261" s="21">
        <v>44273</v>
      </c>
    </row>
    <row r="262" spans="1:7">
      <c r="A262" s="7">
        <v>0.33052083333333332</v>
      </c>
      <c r="B262" s="4" t="s">
        <v>23</v>
      </c>
      <c r="C262" s="4" t="s">
        <v>7</v>
      </c>
      <c r="D262" s="9">
        <v>73755</v>
      </c>
      <c r="E262" s="12">
        <v>1</v>
      </c>
      <c r="F262" s="13">
        <f t="shared" si="0"/>
        <v>73755</v>
      </c>
      <c r="G262" s="21">
        <v>44273</v>
      </c>
    </row>
    <row r="263" spans="1:7">
      <c r="A263" s="7">
        <v>0.33050925925925928</v>
      </c>
      <c r="B263" s="4" t="s">
        <v>21</v>
      </c>
      <c r="C263" s="4" t="s">
        <v>8</v>
      </c>
      <c r="D263" s="9">
        <v>74552</v>
      </c>
      <c r="E263" s="12">
        <v>1</v>
      </c>
      <c r="F263" s="13">
        <f t="shared" si="0"/>
        <v>-74552</v>
      </c>
      <c r="G263" s="21">
        <v>44273</v>
      </c>
    </row>
    <row r="264" spans="1:7">
      <c r="A264" s="7">
        <v>0.33050925925925928</v>
      </c>
      <c r="B264" s="4" t="s">
        <v>23</v>
      </c>
      <c r="C264" s="4" t="s">
        <v>7</v>
      </c>
      <c r="D264" s="9">
        <v>73755</v>
      </c>
      <c r="E264" s="12">
        <v>1</v>
      </c>
      <c r="F264" s="13">
        <f t="shared" si="0"/>
        <v>73755</v>
      </c>
      <c r="G264" s="21">
        <v>44273</v>
      </c>
    </row>
    <row r="265" spans="1:7">
      <c r="A265" s="7">
        <v>0.33050925925925928</v>
      </c>
      <c r="B265" s="4" t="s">
        <v>21</v>
      </c>
      <c r="C265" s="4" t="s">
        <v>8</v>
      </c>
      <c r="D265" s="9">
        <v>74552</v>
      </c>
      <c r="E265" s="12">
        <v>1</v>
      </c>
      <c r="F265" s="13">
        <f t="shared" si="0"/>
        <v>-74552</v>
      </c>
      <c r="G265" s="21">
        <v>44273</v>
      </c>
    </row>
    <row r="266" spans="1:7">
      <c r="A266" s="7">
        <v>0.33050925925925928</v>
      </c>
      <c r="B266" s="4" t="s">
        <v>23</v>
      </c>
      <c r="C266" s="4" t="s">
        <v>7</v>
      </c>
      <c r="D266" s="9">
        <v>73755</v>
      </c>
      <c r="E266" s="12">
        <v>1</v>
      </c>
      <c r="F266" s="13">
        <f t="shared" si="0"/>
        <v>73755</v>
      </c>
      <c r="G266" s="21">
        <v>44273</v>
      </c>
    </row>
    <row r="267" spans="1:7">
      <c r="A267" s="7">
        <v>0.33049768518518519</v>
      </c>
      <c r="B267" s="4" t="s">
        <v>21</v>
      </c>
      <c r="C267" s="4" t="s">
        <v>8</v>
      </c>
      <c r="D267" s="9">
        <v>74552</v>
      </c>
      <c r="E267" s="12">
        <v>1</v>
      </c>
      <c r="F267" s="13">
        <f t="shared" si="0"/>
        <v>-74552</v>
      </c>
      <c r="G267" s="21">
        <v>44273</v>
      </c>
    </row>
    <row r="268" spans="1:7">
      <c r="A268" s="7">
        <v>0.33049768518518519</v>
      </c>
      <c r="B268" s="4" t="s">
        <v>23</v>
      </c>
      <c r="C268" s="4" t="s">
        <v>7</v>
      </c>
      <c r="D268" s="9">
        <v>73755</v>
      </c>
      <c r="E268" s="12">
        <v>1</v>
      </c>
      <c r="F268" s="13">
        <f t="shared" si="0"/>
        <v>73755</v>
      </c>
      <c r="G268" s="21">
        <v>44273</v>
      </c>
    </row>
    <row r="269" spans="1:7">
      <c r="A269" s="7">
        <v>0.33045138888888886</v>
      </c>
      <c r="B269" s="4" t="s">
        <v>21</v>
      </c>
      <c r="C269" s="4" t="s">
        <v>8</v>
      </c>
      <c r="D269" s="9">
        <v>74552</v>
      </c>
      <c r="E269" s="12">
        <v>1</v>
      </c>
      <c r="F269" s="13">
        <f t="shared" si="0"/>
        <v>-74552</v>
      </c>
      <c r="G269" s="21">
        <v>44273</v>
      </c>
    </row>
    <row r="270" spans="1:7">
      <c r="A270" s="7">
        <v>0.33045138888888886</v>
      </c>
      <c r="B270" s="4" t="s">
        <v>23</v>
      </c>
      <c r="C270" s="4" t="s">
        <v>7</v>
      </c>
      <c r="D270" s="9">
        <v>73755</v>
      </c>
      <c r="E270" s="12">
        <v>1</v>
      </c>
      <c r="F270" s="13">
        <f t="shared" si="0"/>
        <v>73755</v>
      </c>
      <c r="G270" s="21">
        <v>44273</v>
      </c>
    </row>
    <row r="271" spans="1:7">
      <c r="A271" s="7">
        <v>0.33045138888888886</v>
      </c>
      <c r="B271" s="4" t="s">
        <v>21</v>
      </c>
      <c r="C271" s="4" t="s">
        <v>8</v>
      </c>
      <c r="D271" s="9">
        <v>74552</v>
      </c>
      <c r="E271" s="12">
        <v>1</v>
      </c>
      <c r="F271" s="13">
        <f t="shared" si="0"/>
        <v>-74552</v>
      </c>
      <c r="G271" s="21">
        <v>44273</v>
      </c>
    </row>
    <row r="272" spans="1:7">
      <c r="A272" s="7">
        <v>0.33045138888888886</v>
      </c>
      <c r="B272" s="4" t="s">
        <v>23</v>
      </c>
      <c r="C272" s="4" t="s">
        <v>7</v>
      </c>
      <c r="D272" s="9">
        <v>73755</v>
      </c>
      <c r="E272" s="12">
        <v>1</v>
      </c>
      <c r="F272" s="13">
        <f t="shared" si="0"/>
        <v>73755</v>
      </c>
      <c r="G272" s="21">
        <v>44273</v>
      </c>
    </row>
    <row r="273" spans="1:7">
      <c r="A273" s="7">
        <v>0.33043981481481483</v>
      </c>
      <c r="B273" s="4" t="s">
        <v>21</v>
      </c>
      <c r="C273" s="4" t="s">
        <v>8</v>
      </c>
      <c r="D273" s="9">
        <v>74552</v>
      </c>
      <c r="E273" s="12">
        <v>1</v>
      </c>
      <c r="F273" s="13">
        <f t="shared" si="0"/>
        <v>-74552</v>
      </c>
      <c r="G273" s="21">
        <v>44273</v>
      </c>
    </row>
    <row r="274" spans="1:7">
      <c r="A274" s="7">
        <v>0.33043981481481483</v>
      </c>
      <c r="B274" s="4" t="s">
        <v>23</v>
      </c>
      <c r="C274" s="4" t="s">
        <v>7</v>
      </c>
      <c r="D274" s="9">
        <v>73755</v>
      </c>
      <c r="E274" s="12">
        <v>1</v>
      </c>
      <c r="F274" s="13">
        <f t="shared" si="0"/>
        <v>73755</v>
      </c>
      <c r="G274" s="21">
        <v>44273</v>
      </c>
    </row>
    <row r="275" spans="1:7">
      <c r="A275" s="7">
        <v>0.33043981481481483</v>
      </c>
      <c r="B275" s="4" t="s">
        <v>21</v>
      </c>
      <c r="C275" s="4" t="s">
        <v>8</v>
      </c>
      <c r="D275" s="9">
        <v>74552</v>
      </c>
      <c r="E275" s="12">
        <v>1</v>
      </c>
      <c r="F275" s="13">
        <f t="shared" si="0"/>
        <v>-74552</v>
      </c>
      <c r="G275" s="21">
        <v>44273</v>
      </c>
    </row>
    <row r="276" spans="1:7">
      <c r="A276" s="7">
        <v>0.33043981481481483</v>
      </c>
      <c r="B276" s="4" t="s">
        <v>23</v>
      </c>
      <c r="C276" s="4" t="s">
        <v>7</v>
      </c>
      <c r="D276" s="9">
        <v>73755</v>
      </c>
      <c r="E276" s="12">
        <v>1</v>
      </c>
      <c r="F276" s="13">
        <f t="shared" si="0"/>
        <v>73755</v>
      </c>
      <c r="G276" s="21">
        <v>44273</v>
      </c>
    </row>
    <row r="277" spans="1:7">
      <c r="A277" s="7">
        <v>0.33042824074074073</v>
      </c>
      <c r="B277" s="4" t="s">
        <v>21</v>
      </c>
      <c r="C277" s="4" t="s">
        <v>8</v>
      </c>
      <c r="D277" s="9">
        <v>74552</v>
      </c>
      <c r="E277" s="12">
        <v>1</v>
      </c>
      <c r="F277" s="13">
        <f t="shared" si="0"/>
        <v>-74552</v>
      </c>
      <c r="G277" s="21">
        <v>44273</v>
      </c>
    </row>
    <row r="278" spans="1:7">
      <c r="A278" s="7">
        <v>0.33042824074074073</v>
      </c>
      <c r="B278" s="4" t="s">
        <v>23</v>
      </c>
      <c r="C278" s="4" t="s">
        <v>7</v>
      </c>
      <c r="D278" s="9">
        <v>73755</v>
      </c>
      <c r="E278" s="12">
        <v>1</v>
      </c>
      <c r="F278" s="13">
        <f t="shared" si="0"/>
        <v>73755</v>
      </c>
      <c r="G278" s="21">
        <v>44273</v>
      </c>
    </row>
    <row r="279" spans="1:7">
      <c r="A279" s="7">
        <v>0.33041666666666669</v>
      </c>
      <c r="B279" s="4" t="s">
        <v>21</v>
      </c>
      <c r="C279" s="4" t="s">
        <v>8</v>
      </c>
      <c r="D279" s="9">
        <v>74552</v>
      </c>
      <c r="E279" s="12">
        <v>1</v>
      </c>
      <c r="F279" s="13">
        <f t="shared" si="0"/>
        <v>-74552</v>
      </c>
      <c r="G279" s="21">
        <v>44273</v>
      </c>
    </row>
    <row r="280" spans="1:7">
      <c r="A280" s="7">
        <v>0.33041666666666669</v>
      </c>
      <c r="B280" s="4" t="s">
        <v>23</v>
      </c>
      <c r="C280" s="4" t="s">
        <v>7</v>
      </c>
      <c r="D280" s="9">
        <v>73755</v>
      </c>
      <c r="E280" s="12">
        <v>1</v>
      </c>
      <c r="F280" s="13">
        <f t="shared" si="0"/>
        <v>73755</v>
      </c>
      <c r="G280" s="21">
        <v>44273</v>
      </c>
    </row>
    <row r="281" spans="1:7">
      <c r="A281" s="7">
        <v>0.33041666666666669</v>
      </c>
      <c r="B281" s="4" t="s">
        <v>21</v>
      </c>
      <c r="C281" s="4" t="s">
        <v>8</v>
      </c>
      <c r="D281" s="9">
        <v>74552</v>
      </c>
      <c r="E281" s="12">
        <v>1</v>
      </c>
      <c r="F281" s="13">
        <f t="shared" si="0"/>
        <v>-74552</v>
      </c>
      <c r="G281" s="21">
        <v>44273</v>
      </c>
    </row>
    <row r="282" spans="1:7">
      <c r="A282" s="7">
        <v>0.33041666666666669</v>
      </c>
      <c r="B282" s="4" t="s">
        <v>23</v>
      </c>
      <c r="C282" s="4" t="s">
        <v>7</v>
      </c>
      <c r="D282" s="9">
        <v>73755</v>
      </c>
      <c r="E282" s="12">
        <v>1</v>
      </c>
      <c r="F282" s="13">
        <f t="shared" si="0"/>
        <v>73755</v>
      </c>
      <c r="G282" s="21">
        <v>44273</v>
      </c>
    </row>
    <row r="283" spans="1:7">
      <c r="A283" s="7">
        <v>0.3304050925925926</v>
      </c>
      <c r="B283" s="4" t="s">
        <v>21</v>
      </c>
      <c r="C283" s="4" t="s">
        <v>8</v>
      </c>
      <c r="D283" s="9">
        <v>74552</v>
      </c>
      <c r="E283" s="12">
        <v>1</v>
      </c>
      <c r="F283" s="13">
        <f t="shared" si="0"/>
        <v>-74552</v>
      </c>
      <c r="G283" s="21">
        <v>44273</v>
      </c>
    </row>
    <row r="284" spans="1:7">
      <c r="A284" s="7">
        <v>0.3304050925925926</v>
      </c>
      <c r="B284" s="4" t="s">
        <v>23</v>
      </c>
      <c r="C284" s="4" t="s">
        <v>7</v>
      </c>
      <c r="D284" s="9">
        <v>73755</v>
      </c>
      <c r="E284" s="12">
        <v>1</v>
      </c>
      <c r="F284" s="13">
        <f t="shared" si="0"/>
        <v>73755</v>
      </c>
      <c r="G284" s="21">
        <v>44273</v>
      </c>
    </row>
    <row r="285" spans="1:7">
      <c r="A285" s="7">
        <v>0.3304050925925926</v>
      </c>
      <c r="B285" s="4" t="s">
        <v>21</v>
      </c>
      <c r="C285" s="4" t="s">
        <v>8</v>
      </c>
      <c r="D285" s="9">
        <v>74552</v>
      </c>
      <c r="E285" s="12">
        <v>1</v>
      </c>
      <c r="F285" s="13">
        <f t="shared" si="0"/>
        <v>-74552</v>
      </c>
      <c r="G285" s="21">
        <v>44273</v>
      </c>
    </row>
    <row r="286" spans="1:7">
      <c r="A286" s="7">
        <v>0.3304050925925926</v>
      </c>
      <c r="B286" s="4" t="s">
        <v>23</v>
      </c>
      <c r="C286" s="4" t="s">
        <v>7</v>
      </c>
      <c r="D286" s="9">
        <v>73755</v>
      </c>
      <c r="E286" s="12">
        <v>1</v>
      </c>
      <c r="F286" s="13">
        <f t="shared" si="0"/>
        <v>73755</v>
      </c>
      <c r="G286" s="21">
        <v>44273</v>
      </c>
    </row>
    <row r="287" spans="1:7">
      <c r="A287" s="7">
        <v>0.3303935185185185</v>
      </c>
      <c r="B287" s="4" t="s">
        <v>21</v>
      </c>
      <c r="C287" s="4" t="s">
        <v>8</v>
      </c>
      <c r="D287" s="9">
        <v>74552</v>
      </c>
      <c r="E287" s="12">
        <v>1</v>
      </c>
      <c r="F287" s="13">
        <f t="shared" si="0"/>
        <v>-74552</v>
      </c>
      <c r="G287" s="21">
        <v>44273</v>
      </c>
    </row>
    <row r="288" spans="1:7">
      <c r="A288" s="7">
        <v>0.3303935185185185</v>
      </c>
      <c r="B288" s="4" t="s">
        <v>23</v>
      </c>
      <c r="C288" s="4" t="s">
        <v>7</v>
      </c>
      <c r="D288" s="9">
        <v>73755</v>
      </c>
      <c r="E288" s="12">
        <v>1</v>
      </c>
      <c r="F288" s="13">
        <f t="shared" si="0"/>
        <v>73755</v>
      </c>
      <c r="G288" s="21">
        <v>44273</v>
      </c>
    </row>
    <row r="289" spans="1:7">
      <c r="A289" s="7">
        <v>0.33038194444444446</v>
      </c>
      <c r="B289" s="4" t="s">
        <v>21</v>
      </c>
      <c r="C289" s="4" t="s">
        <v>8</v>
      </c>
      <c r="D289" s="9">
        <v>74552</v>
      </c>
      <c r="E289" s="12">
        <v>1</v>
      </c>
      <c r="F289" s="13">
        <f t="shared" si="0"/>
        <v>-74552</v>
      </c>
      <c r="G289" s="21">
        <v>44273</v>
      </c>
    </row>
    <row r="290" spans="1:7">
      <c r="A290" s="7">
        <v>0.33038194444444446</v>
      </c>
      <c r="B290" s="4" t="s">
        <v>23</v>
      </c>
      <c r="C290" s="4" t="s">
        <v>7</v>
      </c>
      <c r="D290" s="9">
        <v>73755</v>
      </c>
      <c r="E290" s="12">
        <v>1</v>
      </c>
      <c r="F290" s="13">
        <f t="shared" si="0"/>
        <v>73755</v>
      </c>
      <c r="G290" s="21">
        <v>44273</v>
      </c>
    </row>
    <row r="291" spans="1:7">
      <c r="A291" s="7">
        <v>0.33038194444444446</v>
      </c>
      <c r="B291" s="4" t="s">
        <v>21</v>
      </c>
      <c r="C291" s="4" t="s">
        <v>8</v>
      </c>
      <c r="D291" s="9">
        <v>74552</v>
      </c>
      <c r="E291" s="12">
        <v>1</v>
      </c>
      <c r="F291" s="13">
        <f t="shared" si="0"/>
        <v>-74552</v>
      </c>
      <c r="G291" s="21">
        <v>44273</v>
      </c>
    </row>
    <row r="292" spans="1:7">
      <c r="A292" s="7">
        <v>0.33038194444444446</v>
      </c>
      <c r="B292" s="4" t="s">
        <v>23</v>
      </c>
      <c r="C292" s="4" t="s">
        <v>7</v>
      </c>
      <c r="D292" s="9">
        <v>73755</v>
      </c>
      <c r="E292" s="12">
        <v>1</v>
      </c>
      <c r="F292" s="13">
        <f t="shared" si="0"/>
        <v>73755</v>
      </c>
      <c r="G292" s="21">
        <v>44273</v>
      </c>
    </row>
    <row r="293" spans="1:7">
      <c r="A293" s="7">
        <v>0.33037037037037037</v>
      </c>
      <c r="B293" s="4" t="s">
        <v>21</v>
      </c>
      <c r="C293" s="4" t="s">
        <v>8</v>
      </c>
      <c r="D293" s="9">
        <v>74552</v>
      </c>
      <c r="E293" s="12">
        <v>1</v>
      </c>
      <c r="F293" s="13">
        <f t="shared" si="0"/>
        <v>-74552</v>
      </c>
      <c r="G293" s="21">
        <v>44273</v>
      </c>
    </row>
    <row r="294" spans="1:7">
      <c r="A294" s="7">
        <v>0.33037037037037037</v>
      </c>
      <c r="B294" s="4" t="s">
        <v>23</v>
      </c>
      <c r="C294" s="4" t="s">
        <v>7</v>
      </c>
      <c r="D294" s="9">
        <v>73755</v>
      </c>
      <c r="E294" s="12">
        <v>1</v>
      </c>
      <c r="F294" s="13">
        <f t="shared" si="0"/>
        <v>73755</v>
      </c>
      <c r="G294" s="21">
        <v>44273</v>
      </c>
    </row>
    <row r="295" spans="1:7">
      <c r="A295" s="7">
        <v>0.33037037037037037</v>
      </c>
      <c r="B295" s="4" t="s">
        <v>21</v>
      </c>
      <c r="C295" s="4" t="s">
        <v>8</v>
      </c>
      <c r="D295" s="9">
        <v>74552</v>
      </c>
      <c r="E295" s="12">
        <v>1</v>
      </c>
      <c r="F295" s="13">
        <f t="shared" si="0"/>
        <v>-74552</v>
      </c>
      <c r="G295" s="21">
        <v>44273</v>
      </c>
    </row>
    <row r="296" spans="1:7">
      <c r="A296" s="7">
        <v>0.33037037037037037</v>
      </c>
      <c r="B296" s="4" t="s">
        <v>23</v>
      </c>
      <c r="C296" s="4" t="s">
        <v>7</v>
      </c>
      <c r="D296" s="9">
        <v>73755</v>
      </c>
      <c r="E296" s="12">
        <v>1</v>
      </c>
      <c r="F296" s="13">
        <f t="shared" si="0"/>
        <v>73755</v>
      </c>
      <c r="G296" s="21">
        <v>44273</v>
      </c>
    </row>
    <row r="297" spans="1:7">
      <c r="A297" s="7">
        <v>0.33035879629629628</v>
      </c>
      <c r="B297" s="4" t="s">
        <v>21</v>
      </c>
      <c r="C297" s="4" t="s">
        <v>8</v>
      </c>
      <c r="D297" s="9">
        <v>74552</v>
      </c>
      <c r="E297" s="12">
        <v>1</v>
      </c>
      <c r="F297" s="13">
        <f t="shared" si="0"/>
        <v>-74552</v>
      </c>
      <c r="G297" s="21">
        <v>44273</v>
      </c>
    </row>
    <row r="298" spans="1:7">
      <c r="A298" s="7">
        <v>0.33035879629629628</v>
      </c>
      <c r="B298" s="4" t="s">
        <v>23</v>
      </c>
      <c r="C298" s="4" t="s">
        <v>7</v>
      </c>
      <c r="D298" s="9">
        <v>73755</v>
      </c>
      <c r="E298" s="12">
        <v>1</v>
      </c>
      <c r="F298" s="13">
        <f t="shared" si="0"/>
        <v>73755</v>
      </c>
      <c r="G298" s="21">
        <v>44273</v>
      </c>
    </row>
    <row r="299" spans="1:7">
      <c r="A299" s="7">
        <v>0.33034722222222224</v>
      </c>
      <c r="B299" s="4" t="s">
        <v>21</v>
      </c>
      <c r="C299" s="4" t="s">
        <v>8</v>
      </c>
      <c r="D299" s="9">
        <v>74552</v>
      </c>
      <c r="E299" s="12">
        <v>1</v>
      </c>
      <c r="F299" s="13">
        <f t="shared" si="0"/>
        <v>-74552</v>
      </c>
      <c r="G299" s="21">
        <v>44273</v>
      </c>
    </row>
    <row r="300" spans="1:7">
      <c r="A300" s="7">
        <v>0.33034722222222224</v>
      </c>
      <c r="B300" s="4" t="s">
        <v>23</v>
      </c>
      <c r="C300" s="4" t="s">
        <v>7</v>
      </c>
      <c r="D300" s="9">
        <v>73755</v>
      </c>
      <c r="E300" s="12">
        <v>1</v>
      </c>
      <c r="F300" s="13">
        <f t="shared" si="0"/>
        <v>73755</v>
      </c>
      <c r="G300" s="21">
        <v>44273</v>
      </c>
    </row>
    <row r="301" spans="1:7">
      <c r="A301" s="7">
        <v>0.33033564814814814</v>
      </c>
      <c r="B301" s="4" t="s">
        <v>21</v>
      </c>
      <c r="C301" s="4" t="s">
        <v>8</v>
      </c>
      <c r="D301" s="9">
        <v>74552</v>
      </c>
      <c r="E301" s="12">
        <v>1</v>
      </c>
      <c r="F301" s="13">
        <f t="shared" si="0"/>
        <v>-74552</v>
      </c>
      <c r="G301" s="21">
        <v>44273</v>
      </c>
    </row>
    <row r="302" spans="1:7">
      <c r="A302" s="7">
        <v>0.33033564814814814</v>
      </c>
      <c r="B302" s="4" t="s">
        <v>23</v>
      </c>
      <c r="C302" s="4" t="s">
        <v>7</v>
      </c>
      <c r="D302" s="9">
        <v>73755</v>
      </c>
      <c r="E302" s="12">
        <v>1</v>
      </c>
      <c r="F302" s="13">
        <f t="shared" si="0"/>
        <v>73755</v>
      </c>
      <c r="G302" s="21">
        <v>44273</v>
      </c>
    </row>
    <row r="303" spans="1:7">
      <c r="A303" s="7">
        <v>0.33032407407407405</v>
      </c>
      <c r="B303" s="4" t="s">
        <v>21</v>
      </c>
      <c r="C303" s="4" t="s">
        <v>8</v>
      </c>
      <c r="D303" s="9">
        <v>74552</v>
      </c>
      <c r="E303" s="12">
        <v>1</v>
      </c>
      <c r="F303" s="13">
        <f t="shared" si="0"/>
        <v>-74552</v>
      </c>
      <c r="G303" s="21">
        <v>44273</v>
      </c>
    </row>
    <row r="304" spans="1:7">
      <c r="A304" s="7">
        <v>0.33032407407407405</v>
      </c>
      <c r="B304" s="4" t="s">
        <v>23</v>
      </c>
      <c r="C304" s="4" t="s">
        <v>7</v>
      </c>
      <c r="D304" s="9">
        <v>73755</v>
      </c>
      <c r="E304" s="12">
        <v>1</v>
      </c>
      <c r="F304" s="13">
        <f t="shared" si="0"/>
        <v>73755</v>
      </c>
      <c r="G304" s="21">
        <v>44273</v>
      </c>
    </row>
    <row r="305" spans="1:7">
      <c r="A305" s="7">
        <v>0.33032407407407405</v>
      </c>
      <c r="B305" s="4" t="s">
        <v>21</v>
      </c>
      <c r="C305" s="4" t="s">
        <v>8</v>
      </c>
      <c r="D305" s="9">
        <v>74552</v>
      </c>
      <c r="E305" s="12">
        <v>1</v>
      </c>
      <c r="F305" s="13">
        <f t="shared" si="0"/>
        <v>-74552</v>
      </c>
      <c r="G305" s="21">
        <v>44273</v>
      </c>
    </row>
    <row r="306" spans="1:7">
      <c r="A306" s="7">
        <v>0.33032407407407405</v>
      </c>
      <c r="B306" s="4" t="s">
        <v>23</v>
      </c>
      <c r="C306" s="4" t="s">
        <v>7</v>
      </c>
      <c r="D306" s="9">
        <v>73755</v>
      </c>
      <c r="E306" s="12">
        <v>1</v>
      </c>
      <c r="F306" s="13">
        <f t="shared" si="0"/>
        <v>73755</v>
      </c>
      <c r="G306" s="21">
        <v>44273</v>
      </c>
    </row>
    <row r="307" spans="1:7">
      <c r="A307" s="7">
        <v>0.33031250000000001</v>
      </c>
      <c r="B307" s="4" t="s">
        <v>21</v>
      </c>
      <c r="C307" s="4" t="s">
        <v>8</v>
      </c>
      <c r="D307" s="9">
        <v>74552</v>
      </c>
      <c r="E307" s="12">
        <v>1</v>
      </c>
      <c r="F307" s="13">
        <f t="shared" si="0"/>
        <v>-74552</v>
      </c>
      <c r="G307" s="21">
        <v>44273</v>
      </c>
    </row>
    <row r="308" spans="1:7">
      <c r="A308" s="7">
        <v>0.33031250000000001</v>
      </c>
      <c r="B308" s="4" t="s">
        <v>23</v>
      </c>
      <c r="C308" s="4" t="s">
        <v>7</v>
      </c>
      <c r="D308" s="9">
        <v>73755</v>
      </c>
      <c r="E308" s="12">
        <v>1</v>
      </c>
      <c r="F308" s="13">
        <f t="shared" si="0"/>
        <v>73755</v>
      </c>
      <c r="G308" s="21">
        <v>44273</v>
      </c>
    </row>
    <row r="309" spans="1:7">
      <c r="A309" s="7">
        <v>0.33025462962962965</v>
      </c>
      <c r="B309" s="4" t="s">
        <v>21</v>
      </c>
      <c r="C309" s="4" t="s">
        <v>8</v>
      </c>
      <c r="D309" s="9">
        <v>74553</v>
      </c>
      <c r="E309" s="12">
        <v>1</v>
      </c>
      <c r="F309" s="13">
        <f t="shared" si="0"/>
        <v>-74553</v>
      </c>
      <c r="G309" s="21">
        <v>44273</v>
      </c>
    </row>
    <row r="310" spans="1:7">
      <c r="A310" s="7">
        <v>0.33025462962962965</v>
      </c>
      <c r="B310" s="4" t="s">
        <v>23</v>
      </c>
      <c r="C310" s="4" t="s">
        <v>7</v>
      </c>
      <c r="D310" s="9">
        <v>73756</v>
      </c>
      <c r="E310" s="12">
        <v>1</v>
      </c>
      <c r="F310" s="13">
        <f t="shared" si="0"/>
        <v>73756</v>
      </c>
      <c r="G310" s="21">
        <v>44273</v>
      </c>
    </row>
    <row r="311" spans="1:7">
      <c r="A311" s="7">
        <v>0.33</v>
      </c>
      <c r="B311" s="4" t="s">
        <v>21</v>
      </c>
      <c r="C311" s="4" t="s">
        <v>8</v>
      </c>
      <c r="D311" s="9">
        <v>74560</v>
      </c>
      <c r="E311" s="12">
        <v>1</v>
      </c>
      <c r="F311" s="13">
        <f t="shared" si="0"/>
        <v>-74560</v>
      </c>
      <c r="G311" s="21">
        <v>44273</v>
      </c>
    </row>
    <row r="312" spans="1:7">
      <c r="A312" s="7">
        <v>0.33</v>
      </c>
      <c r="B312" s="4" t="s">
        <v>23</v>
      </c>
      <c r="C312" s="4" t="s">
        <v>7</v>
      </c>
      <c r="D312" s="9">
        <v>73763</v>
      </c>
      <c r="E312" s="12">
        <v>1</v>
      </c>
      <c r="F312" s="13">
        <f t="shared" si="0"/>
        <v>73763</v>
      </c>
      <c r="G312" s="21">
        <v>44273</v>
      </c>
    </row>
    <row r="313" spans="1:7">
      <c r="A313" s="7">
        <v>0.32994212962962965</v>
      </c>
      <c r="B313" s="4" t="s">
        <v>21</v>
      </c>
      <c r="C313" s="4" t="s">
        <v>8</v>
      </c>
      <c r="D313" s="9">
        <v>74559</v>
      </c>
      <c r="E313" s="12">
        <v>1</v>
      </c>
      <c r="F313" s="13">
        <f t="shared" si="0"/>
        <v>-74559</v>
      </c>
      <c r="G313" s="21">
        <v>44273</v>
      </c>
    </row>
    <row r="314" spans="1:7">
      <c r="A314" s="7">
        <v>0.32994212962962965</v>
      </c>
      <c r="B314" s="4" t="s">
        <v>23</v>
      </c>
      <c r="C314" s="4" t="s">
        <v>7</v>
      </c>
      <c r="D314" s="9">
        <v>73762</v>
      </c>
      <c r="E314" s="12">
        <v>1</v>
      </c>
      <c r="F314" s="13">
        <f t="shared" si="0"/>
        <v>73762</v>
      </c>
      <c r="G314" s="21">
        <v>44273</v>
      </c>
    </row>
    <row r="315" spans="1:7">
      <c r="A315" s="7">
        <v>0.32994212962962965</v>
      </c>
      <c r="B315" s="4" t="s">
        <v>21</v>
      </c>
      <c r="C315" s="4" t="s">
        <v>8</v>
      </c>
      <c r="D315" s="9">
        <v>74559</v>
      </c>
      <c r="E315" s="12">
        <v>1</v>
      </c>
      <c r="F315" s="13">
        <f t="shared" si="0"/>
        <v>-74559</v>
      </c>
      <c r="G315" s="21">
        <v>44273</v>
      </c>
    </row>
    <row r="316" spans="1:7">
      <c r="A316" s="7">
        <v>0.32994212962962965</v>
      </c>
      <c r="B316" s="4" t="s">
        <v>23</v>
      </c>
      <c r="C316" s="4" t="s">
        <v>7</v>
      </c>
      <c r="D316" s="9">
        <v>73762</v>
      </c>
      <c r="E316" s="12">
        <v>1</v>
      </c>
      <c r="F316" s="13">
        <f t="shared" si="0"/>
        <v>73762</v>
      </c>
      <c r="G316" s="21">
        <v>44273</v>
      </c>
    </row>
    <row r="317" spans="1:7">
      <c r="A317" s="7">
        <v>0.32994212962962965</v>
      </c>
      <c r="B317" s="4" t="s">
        <v>21</v>
      </c>
      <c r="C317" s="4" t="s">
        <v>8</v>
      </c>
      <c r="D317" s="9">
        <v>74559</v>
      </c>
      <c r="E317" s="12">
        <v>1</v>
      </c>
      <c r="F317" s="13">
        <f t="shared" si="0"/>
        <v>-74559</v>
      </c>
      <c r="G317" s="21">
        <v>44273</v>
      </c>
    </row>
    <row r="318" spans="1:7">
      <c r="A318" s="7">
        <v>0.32994212962962965</v>
      </c>
      <c r="B318" s="4" t="s">
        <v>23</v>
      </c>
      <c r="C318" s="4" t="s">
        <v>7</v>
      </c>
      <c r="D318" s="9">
        <v>73762</v>
      </c>
      <c r="E318" s="12">
        <v>1</v>
      </c>
      <c r="F318" s="13">
        <f t="shared" si="0"/>
        <v>73762</v>
      </c>
      <c r="G318" s="21">
        <v>44273</v>
      </c>
    </row>
    <row r="319" spans="1:7">
      <c r="A319" s="7">
        <v>0.32976851851851852</v>
      </c>
      <c r="B319" s="4" t="s">
        <v>21</v>
      </c>
      <c r="C319" s="4" t="s">
        <v>8</v>
      </c>
      <c r="D319" s="9">
        <v>74560</v>
      </c>
      <c r="E319" s="12">
        <v>1</v>
      </c>
      <c r="F319" s="13">
        <f t="shared" si="0"/>
        <v>-74560</v>
      </c>
      <c r="G319" s="21">
        <v>44273</v>
      </c>
    </row>
    <row r="320" spans="1:7">
      <c r="A320" s="7">
        <v>0.32976851851851852</v>
      </c>
      <c r="B320" s="4" t="s">
        <v>23</v>
      </c>
      <c r="C320" s="4" t="s">
        <v>7</v>
      </c>
      <c r="D320" s="9">
        <v>73762</v>
      </c>
      <c r="E320" s="12">
        <v>1</v>
      </c>
      <c r="F320" s="13">
        <f t="shared" si="0"/>
        <v>73762</v>
      </c>
      <c r="G320" s="21">
        <v>44273</v>
      </c>
    </row>
    <row r="321" spans="1:7">
      <c r="A321" s="7">
        <v>0.32962962962962961</v>
      </c>
      <c r="B321" s="4" t="s">
        <v>21</v>
      </c>
      <c r="C321" s="4" t="s">
        <v>8</v>
      </c>
      <c r="D321" s="9">
        <v>74558</v>
      </c>
      <c r="E321" s="12">
        <v>1</v>
      </c>
      <c r="F321" s="13">
        <f t="shared" si="0"/>
        <v>-74558</v>
      </c>
      <c r="G321" s="21">
        <v>44273</v>
      </c>
    </row>
    <row r="322" spans="1:7">
      <c r="A322" s="7">
        <v>0.32962962962962961</v>
      </c>
      <c r="B322" s="4" t="s">
        <v>23</v>
      </c>
      <c r="C322" s="4" t="s">
        <v>7</v>
      </c>
      <c r="D322" s="9">
        <v>73761</v>
      </c>
      <c r="E322" s="12">
        <v>1</v>
      </c>
      <c r="F322" s="13">
        <f t="shared" si="0"/>
        <v>73761</v>
      </c>
      <c r="G322" s="21">
        <v>44273</v>
      </c>
    </row>
    <row r="323" spans="1:7">
      <c r="A323" s="7">
        <v>0.32959490740740743</v>
      </c>
      <c r="B323" s="4" t="s">
        <v>21</v>
      </c>
      <c r="C323" s="4" t="s">
        <v>8</v>
      </c>
      <c r="D323" s="9">
        <v>74560</v>
      </c>
      <c r="E323" s="12">
        <v>1</v>
      </c>
      <c r="F323" s="13">
        <f t="shared" si="0"/>
        <v>-74560</v>
      </c>
      <c r="G323" s="21">
        <v>44273</v>
      </c>
    </row>
    <row r="324" spans="1:7">
      <c r="A324" s="7">
        <v>0.32959490740740743</v>
      </c>
      <c r="B324" s="4" t="s">
        <v>23</v>
      </c>
      <c r="C324" s="4" t="s">
        <v>7</v>
      </c>
      <c r="D324" s="9">
        <v>73763</v>
      </c>
      <c r="E324" s="12">
        <v>1</v>
      </c>
      <c r="F324" s="13">
        <f t="shared" si="0"/>
        <v>73763</v>
      </c>
      <c r="G324" s="21">
        <v>44273</v>
      </c>
    </row>
    <row r="325" spans="1:7">
      <c r="A325" s="7">
        <v>0.32957175925925924</v>
      </c>
      <c r="B325" s="4" t="s">
        <v>21</v>
      </c>
      <c r="C325" s="4" t="s">
        <v>8</v>
      </c>
      <c r="D325" s="9">
        <v>74558</v>
      </c>
      <c r="E325" s="12">
        <v>1</v>
      </c>
      <c r="F325" s="13">
        <f t="shared" si="0"/>
        <v>-74558</v>
      </c>
      <c r="G325" s="21">
        <v>44273</v>
      </c>
    </row>
    <row r="326" spans="1:7">
      <c r="A326" s="7">
        <v>0.32957175925925924</v>
      </c>
      <c r="B326" s="4" t="s">
        <v>23</v>
      </c>
      <c r="C326" s="4" t="s">
        <v>7</v>
      </c>
      <c r="D326" s="9">
        <v>73761</v>
      </c>
      <c r="E326" s="12">
        <v>1</v>
      </c>
      <c r="F326" s="13">
        <f t="shared" si="0"/>
        <v>73761</v>
      </c>
      <c r="G326" s="21">
        <v>44273</v>
      </c>
    </row>
    <row r="327" spans="1:7">
      <c r="A327" s="7">
        <v>0.32815972222222223</v>
      </c>
      <c r="B327" s="4" t="s">
        <v>21</v>
      </c>
      <c r="C327" s="4" t="s">
        <v>8</v>
      </c>
      <c r="D327" s="9">
        <v>74563</v>
      </c>
      <c r="E327" s="12">
        <v>1</v>
      </c>
      <c r="F327" s="13">
        <f t="shared" si="0"/>
        <v>-74563</v>
      </c>
      <c r="G327" s="21">
        <v>44273</v>
      </c>
    </row>
    <row r="328" spans="1:7">
      <c r="A328" s="7">
        <v>0.32815972222222223</v>
      </c>
      <c r="B328" s="4" t="s">
        <v>23</v>
      </c>
      <c r="C328" s="4" t="s">
        <v>7</v>
      </c>
      <c r="D328" s="9">
        <v>73766</v>
      </c>
      <c r="E328" s="12">
        <v>1</v>
      </c>
      <c r="F328" s="13">
        <f t="shared" si="0"/>
        <v>73766</v>
      </c>
      <c r="G328" s="21">
        <v>44273</v>
      </c>
    </row>
    <row r="329" spans="1:7">
      <c r="A329" s="7">
        <v>0.32815972222222223</v>
      </c>
      <c r="B329" s="4" t="s">
        <v>21</v>
      </c>
      <c r="C329" s="4" t="s">
        <v>8</v>
      </c>
      <c r="D329" s="9">
        <v>74563</v>
      </c>
      <c r="E329" s="12">
        <v>1</v>
      </c>
      <c r="F329" s="13">
        <f t="shared" si="0"/>
        <v>-74563</v>
      </c>
      <c r="G329" s="21">
        <v>44273</v>
      </c>
    </row>
    <row r="330" spans="1:7">
      <c r="A330" s="7">
        <v>0.32815972222222223</v>
      </c>
      <c r="B330" s="4" t="s">
        <v>23</v>
      </c>
      <c r="C330" s="4" t="s">
        <v>7</v>
      </c>
      <c r="D330" s="9">
        <v>73766</v>
      </c>
      <c r="E330" s="12">
        <v>1</v>
      </c>
      <c r="F330" s="13">
        <f t="shared" si="0"/>
        <v>73766</v>
      </c>
      <c r="G330" s="21">
        <v>44273</v>
      </c>
    </row>
    <row r="331" spans="1:7">
      <c r="A331" s="7">
        <v>0.32815972222222223</v>
      </c>
      <c r="B331" s="4" t="s">
        <v>21</v>
      </c>
      <c r="C331" s="4" t="s">
        <v>8</v>
      </c>
      <c r="D331" s="9">
        <v>74563</v>
      </c>
      <c r="E331" s="12">
        <v>1</v>
      </c>
      <c r="F331" s="13">
        <f t="shared" si="0"/>
        <v>-74563</v>
      </c>
      <c r="G331" s="21">
        <v>44273</v>
      </c>
    </row>
    <row r="332" spans="1:7">
      <c r="A332" s="7">
        <v>0.32815972222222223</v>
      </c>
      <c r="B332" s="4" t="s">
        <v>23</v>
      </c>
      <c r="C332" s="4" t="s">
        <v>7</v>
      </c>
      <c r="D332" s="9">
        <v>73766</v>
      </c>
      <c r="E332" s="12">
        <v>1</v>
      </c>
      <c r="F332" s="13">
        <f t="shared" si="0"/>
        <v>73766</v>
      </c>
      <c r="G332" s="21">
        <v>44273</v>
      </c>
    </row>
    <row r="333" spans="1:7">
      <c r="A333" s="7">
        <v>0.32815972222222223</v>
      </c>
      <c r="B333" s="4" t="s">
        <v>21</v>
      </c>
      <c r="C333" s="4" t="s">
        <v>8</v>
      </c>
      <c r="D333" s="9">
        <v>74563</v>
      </c>
      <c r="E333" s="12">
        <v>1</v>
      </c>
      <c r="F333" s="13">
        <f t="shared" si="0"/>
        <v>-74563</v>
      </c>
      <c r="G333" s="21">
        <v>44273</v>
      </c>
    </row>
    <row r="334" spans="1:7">
      <c r="A334" s="7">
        <v>0.32815972222222223</v>
      </c>
      <c r="B334" s="4" t="s">
        <v>23</v>
      </c>
      <c r="C334" s="4" t="s">
        <v>7</v>
      </c>
      <c r="D334" s="9">
        <v>73766</v>
      </c>
      <c r="E334" s="12">
        <v>1</v>
      </c>
      <c r="F334" s="13">
        <f t="shared" si="0"/>
        <v>73766</v>
      </c>
      <c r="G334" s="21">
        <v>44273</v>
      </c>
    </row>
    <row r="335" spans="1:7">
      <c r="A335" s="7">
        <v>0.32805555555555554</v>
      </c>
      <c r="B335" s="4" t="s">
        <v>21</v>
      </c>
      <c r="C335" s="4" t="s">
        <v>8</v>
      </c>
      <c r="D335" s="9">
        <v>74563</v>
      </c>
      <c r="E335" s="12">
        <v>1</v>
      </c>
      <c r="F335" s="13">
        <f t="shared" si="0"/>
        <v>-74563</v>
      </c>
      <c r="G335" s="21">
        <v>44273</v>
      </c>
    </row>
    <row r="336" spans="1:7">
      <c r="A336" s="7">
        <v>0.32805555555555554</v>
      </c>
      <c r="B336" s="4" t="s">
        <v>23</v>
      </c>
      <c r="C336" s="4" t="s">
        <v>7</v>
      </c>
      <c r="D336" s="9">
        <v>73766</v>
      </c>
      <c r="E336" s="12">
        <v>1</v>
      </c>
      <c r="F336" s="13">
        <f t="shared" si="0"/>
        <v>73766</v>
      </c>
      <c r="G336" s="21">
        <v>44273</v>
      </c>
    </row>
    <row r="337" spans="1:7">
      <c r="A337" s="7">
        <v>0.32784722222222223</v>
      </c>
      <c r="B337" s="4" t="s">
        <v>21</v>
      </c>
      <c r="C337" s="4" t="s">
        <v>8</v>
      </c>
      <c r="D337" s="9">
        <v>74563</v>
      </c>
      <c r="E337" s="12">
        <v>1</v>
      </c>
      <c r="F337" s="13">
        <f t="shared" si="0"/>
        <v>-74563</v>
      </c>
      <c r="G337" s="21">
        <v>44273</v>
      </c>
    </row>
    <row r="338" spans="1:7">
      <c r="A338" s="7">
        <v>0.3278240740740741</v>
      </c>
      <c r="B338" s="4" t="s">
        <v>23</v>
      </c>
      <c r="C338" s="4" t="s">
        <v>7</v>
      </c>
      <c r="D338" s="9">
        <v>73765</v>
      </c>
      <c r="E338" s="12">
        <v>1</v>
      </c>
      <c r="F338" s="13">
        <f t="shared" si="0"/>
        <v>73765</v>
      </c>
      <c r="G338" s="21">
        <v>44273</v>
      </c>
    </row>
    <row r="339" spans="1:7">
      <c r="A339" s="7">
        <v>0.32761574074074074</v>
      </c>
      <c r="B339" s="4" t="s">
        <v>21</v>
      </c>
      <c r="C339" s="4" t="s">
        <v>8</v>
      </c>
      <c r="D339" s="9">
        <v>74560</v>
      </c>
      <c r="E339" s="12">
        <v>1</v>
      </c>
      <c r="F339" s="13">
        <f t="shared" si="0"/>
        <v>-74560</v>
      </c>
      <c r="G339" s="21">
        <v>44273</v>
      </c>
    </row>
    <row r="340" spans="1:7">
      <c r="A340" s="7">
        <v>0.32761574074074074</v>
      </c>
      <c r="B340" s="4" t="s">
        <v>23</v>
      </c>
      <c r="C340" s="4" t="s">
        <v>7</v>
      </c>
      <c r="D340" s="9">
        <v>73763</v>
      </c>
      <c r="E340" s="12">
        <v>1</v>
      </c>
      <c r="F340" s="13">
        <f t="shared" si="0"/>
        <v>73763</v>
      </c>
      <c r="G340" s="21">
        <v>44273</v>
      </c>
    </row>
    <row r="341" spans="1:7">
      <c r="A341" s="7">
        <v>0.3275925925925926</v>
      </c>
      <c r="B341" s="4" t="s">
        <v>21</v>
      </c>
      <c r="C341" s="4" t="s">
        <v>8</v>
      </c>
      <c r="D341" s="9">
        <v>74560</v>
      </c>
      <c r="E341" s="12">
        <v>1</v>
      </c>
      <c r="F341" s="13">
        <f t="shared" si="0"/>
        <v>-74560</v>
      </c>
      <c r="G341" s="21">
        <v>44273</v>
      </c>
    </row>
    <row r="342" spans="1:7">
      <c r="A342" s="7">
        <v>0.3275925925925926</v>
      </c>
      <c r="B342" s="4" t="s">
        <v>23</v>
      </c>
      <c r="C342" s="4" t="s">
        <v>7</v>
      </c>
      <c r="D342" s="9">
        <v>73763</v>
      </c>
      <c r="E342" s="12">
        <v>1</v>
      </c>
      <c r="F342" s="13">
        <f t="shared" si="0"/>
        <v>73763</v>
      </c>
      <c r="G342" s="21">
        <v>44273</v>
      </c>
    </row>
    <row r="343" spans="1:7">
      <c r="A343" s="7">
        <v>0.32734953703703706</v>
      </c>
      <c r="B343" s="4" t="s">
        <v>21</v>
      </c>
      <c r="C343" s="4" t="s">
        <v>8</v>
      </c>
      <c r="D343" s="9">
        <v>74567</v>
      </c>
      <c r="E343" s="12">
        <v>1</v>
      </c>
      <c r="F343" s="13">
        <f t="shared" si="0"/>
        <v>-74567</v>
      </c>
      <c r="G343" s="21">
        <v>44273</v>
      </c>
    </row>
    <row r="344" spans="1:7">
      <c r="A344" s="7">
        <v>0.32734953703703706</v>
      </c>
      <c r="B344" s="4" t="s">
        <v>23</v>
      </c>
      <c r="C344" s="4" t="s">
        <v>7</v>
      </c>
      <c r="D344" s="9">
        <v>73768</v>
      </c>
      <c r="E344" s="12">
        <v>1</v>
      </c>
      <c r="F344" s="13">
        <f t="shared" si="0"/>
        <v>73768</v>
      </c>
      <c r="G344" s="21">
        <v>44273</v>
      </c>
    </row>
    <row r="345" spans="1:7">
      <c r="A345" s="7">
        <v>0.32730324074074074</v>
      </c>
      <c r="B345" s="4" t="s">
        <v>21</v>
      </c>
      <c r="C345" s="4" t="s">
        <v>8</v>
      </c>
      <c r="D345" s="9">
        <v>74567</v>
      </c>
      <c r="E345" s="12">
        <v>1</v>
      </c>
      <c r="F345" s="13">
        <f t="shared" si="0"/>
        <v>-74567</v>
      </c>
      <c r="G345" s="21">
        <v>44273</v>
      </c>
    </row>
    <row r="346" spans="1:7">
      <c r="A346" s="7">
        <v>0.32730324074074074</v>
      </c>
      <c r="B346" s="4" t="s">
        <v>23</v>
      </c>
      <c r="C346" s="4" t="s">
        <v>7</v>
      </c>
      <c r="D346" s="9">
        <v>73767</v>
      </c>
      <c r="E346" s="12">
        <v>1</v>
      </c>
      <c r="F346" s="13">
        <f t="shared" si="0"/>
        <v>73767</v>
      </c>
      <c r="G346" s="21">
        <v>44273</v>
      </c>
    </row>
    <row r="347" spans="1:7">
      <c r="A347" s="7">
        <v>0.32730324074074074</v>
      </c>
      <c r="B347" s="4" t="s">
        <v>21</v>
      </c>
      <c r="C347" s="4" t="s">
        <v>8</v>
      </c>
      <c r="D347" s="9">
        <v>74564</v>
      </c>
      <c r="E347" s="12">
        <v>1</v>
      </c>
      <c r="F347" s="13">
        <f t="shared" si="0"/>
        <v>-74564</v>
      </c>
      <c r="G347" s="21">
        <v>44273</v>
      </c>
    </row>
    <row r="348" spans="1:7">
      <c r="A348" s="7">
        <v>0.32730324074074074</v>
      </c>
      <c r="B348" s="4" t="s">
        <v>23</v>
      </c>
      <c r="C348" s="4" t="s">
        <v>7</v>
      </c>
      <c r="D348" s="9">
        <v>73767</v>
      </c>
      <c r="E348" s="12">
        <v>1</v>
      </c>
      <c r="F348" s="13">
        <f t="shared" si="0"/>
        <v>73767</v>
      </c>
      <c r="G348" s="21">
        <v>44273</v>
      </c>
    </row>
    <row r="349" spans="1:7">
      <c r="A349" s="7">
        <v>0.32730324074074074</v>
      </c>
      <c r="B349" s="4" t="s">
        <v>21</v>
      </c>
      <c r="C349" s="4" t="s">
        <v>8</v>
      </c>
      <c r="D349" s="9">
        <v>74567</v>
      </c>
      <c r="E349" s="12">
        <v>1</v>
      </c>
      <c r="F349" s="13">
        <f t="shared" si="0"/>
        <v>-74567</v>
      </c>
      <c r="G349" s="21">
        <v>44273</v>
      </c>
    </row>
    <row r="350" spans="1:7">
      <c r="A350" s="7">
        <v>0.32730324074074074</v>
      </c>
      <c r="B350" s="4" t="s">
        <v>23</v>
      </c>
      <c r="C350" s="4" t="s">
        <v>7</v>
      </c>
      <c r="D350" s="9">
        <v>73770</v>
      </c>
      <c r="E350" s="12">
        <v>1</v>
      </c>
      <c r="F350" s="13">
        <f t="shared" si="0"/>
        <v>73770</v>
      </c>
      <c r="G350" s="21">
        <v>44273</v>
      </c>
    </row>
    <row r="351" spans="1:7">
      <c r="A351" s="7">
        <v>0.32730324074074074</v>
      </c>
      <c r="B351" s="4" t="s">
        <v>21</v>
      </c>
      <c r="C351" s="4" t="s">
        <v>8</v>
      </c>
      <c r="D351" s="9">
        <v>74568</v>
      </c>
      <c r="E351" s="12">
        <v>1</v>
      </c>
      <c r="F351" s="13">
        <f t="shared" si="0"/>
        <v>-74568</v>
      </c>
      <c r="G351" s="21">
        <v>44273</v>
      </c>
    </row>
    <row r="352" spans="1:7">
      <c r="A352" s="7">
        <v>0.32728009259259261</v>
      </c>
      <c r="B352" s="4" t="s">
        <v>23</v>
      </c>
      <c r="C352" s="4" t="s">
        <v>7</v>
      </c>
      <c r="D352" s="9">
        <v>73770</v>
      </c>
      <c r="E352" s="12">
        <v>1</v>
      </c>
      <c r="F352" s="13">
        <f t="shared" si="0"/>
        <v>73770</v>
      </c>
      <c r="G352" s="21">
        <v>44273</v>
      </c>
    </row>
    <row r="353" spans="1:7">
      <c r="A353" s="7">
        <v>0.32711805555555556</v>
      </c>
      <c r="B353" s="4" t="s">
        <v>21</v>
      </c>
      <c r="C353" s="4" t="s">
        <v>8</v>
      </c>
      <c r="D353" s="9">
        <v>74570</v>
      </c>
      <c r="E353" s="12">
        <v>1</v>
      </c>
      <c r="F353" s="13">
        <f t="shared" si="0"/>
        <v>-74570</v>
      </c>
      <c r="G353" s="21">
        <v>44273</v>
      </c>
    </row>
    <row r="354" spans="1:7">
      <c r="A354" s="7">
        <v>0.32711805555555556</v>
      </c>
      <c r="B354" s="4" t="s">
        <v>23</v>
      </c>
      <c r="C354" s="4" t="s">
        <v>7</v>
      </c>
      <c r="D354" s="9">
        <v>73773</v>
      </c>
      <c r="E354" s="12">
        <v>1</v>
      </c>
      <c r="F354" s="13">
        <f t="shared" si="0"/>
        <v>73773</v>
      </c>
      <c r="G354" s="21">
        <v>44273</v>
      </c>
    </row>
    <row r="355" spans="1:7">
      <c r="A355" s="7">
        <v>0.32700231481481479</v>
      </c>
      <c r="B355" s="4" t="s">
        <v>21</v>
      </c>
      <c r="C355" s="4" t="s">
        <v>8</v>
      </c>
      <c r="D355" s="9">
        <v>74579</v>
      </c>
      <c r="E355" s="12">
        <v>1</v>
      </c>
      <c r="F355" s="13">
        <f t="shared" si="0"/>
        <v>-74579</v>
      </c>
      <c r="G355" s="21">
        <v>44273</v>
      </c>
    </row>
    <row r="356" spans="1:7">
      <c r="A356" s="7">
        <v>0.32700231481481479</v>
      </c>
      <c r="B356" s="4" t="s">
        <v>23</v>
      </c>
      <c r="C356" s="4" t="s">
        <v>7</v>
      </c>
      <c r="D356" s="9">
        <v>73782</v>
      </c>
      <c r="E356" s="12">
        <v>1</v>
      </c>
      <c r="F356" s="13">
        <f t="shared" si="0"/>
        <v>73782</v>
      </c>
      <c r="G356" s="21">
        <v>44273</v>
      </c>
    </row>
    <row r="357" spans="1:7">
      <c r="A357" s="7">
        <v>0.32581018518518517</v>
      </c>
      <c r="B357" s="4" t="s">
        <v>21</v>
      </c>
      <c r="C357" s="4" t="s">
        <v>8</v>
      </c>
      <c r="D357" s="9">
        <v>74576</v>
      </c>
      <c r="E357" s="12">
        <v>1</v>
      </c>
      <c r="F357" s="13">
        <f t="shared" si="0"/>
        <v>-74576</v>
      </c>
      <c r="G357" s="21">
        <v>44273</v>
      </c>
    </row>
    <row r="358" spans="1:7">
      <c r="A358" s="7">
        <v>0.32577546296296295</v>
      </c>
      <c r="B358" s="4" t="s">
        <v>23</v>
      </c>
      <c r="C358" s="4" t="s">
        <v>7</v>
      </c>
      <c r="D358" s="9">
        <v>73776</v>
      </c>
      <c r="E358" s="12">
        <v>1</v>
      </c>
      <c r="F358" s="13">
        <f t="shared" si="0"/>
        <v>73776</v>
      </c>
      <c r="G358" s="21">
        <v>44273</v>
      </c>
    </row>
    <row r="359" spans="1:7">
      <c r="A359" s="7">
        <v>0.32305555555555554</v>
      </c>
      <c r="B359" s="4" t="s">
        <v>21</v>
      </c>
      <c r="C359" s="4" t="s">
        <v>8</v>
      </c>
      <c r="D359" s="9">
        <v>74573</v>
      </c>
      <c r="E359" s="12">
        <v>1</v>
      </c>
      <c r="F359" s="13">
        <f t="shared" si="0"/>
        <v>-74573</v>
      </c>
      <c r="G359" s="21">
        <v>44273</v>
      </c>
    </row>
    <row r="360" spans="1:7">
      <c r="A360" s="7">
        <v>0.32305555555555554</v>
      </c>
      <c r="B360" s="4" t="s">
        <v>23</v>
      </c>
      <c r="C360" s="4" t="s">
        <v>7</v>
      </c>
      <c r="D360" s="9">
        <v>73777</v>
      </c>
      <c r="E360" s="12">
        <v>1</v>
      </c>
      <c r="F360" s="13">
        <f t="shared" si="0"/>
        <v>73777</v>
      </c>
      <c r="G360" s="21">
        <v>44273</v>
      </c>
    </row>
    <row r="361" spans="1:7">
      <c r="A361" s="7">
        <v>0.3228125</v>
      </c>
      <c r="B361" s="4" t="s">
        <v>21</v>
      </c>
      <c r="C361" s="4" t="s">
        <v>8</v>
      </c>
      <c r="D361" s="9">
        <v>74565</v>
      </c>
      <c r="E361" s="12">
        <v>1</v>
      </c>
      <c r="F361" s="13">
        <f t="shared" si="0"/>
        <v>-74565</v>
      </c>
      <c r="G361" s="21">
        <v>44273</v>
      </c>
    </row>
    <row r="362" spans="1:7">
      <c r="A362" s="7">
        <v>0.3228125</v>
      </c>
      <c r="B362" s="4" t="s">
        <v>23</v>
      </c>
      <c r="C362" s="4" t="s">
        <v>7</v>
      </c>
      <c r="D362" s="9">
        <v>73769</v>
      </c>
      <c r="E362" s="12">
        <v>1</v>
      </c>
      <c r="F362" s="13">
        <f t="shared" si="0"/>
        <v>73769</v>
      </c>
      <c r="G362" s="21">
        <v>44273</v>
      </c>
    </row>
    <row r="363" spans="1:7">
      <c r="A363" s="7">
        <v>0.3228125</v>
      </c>
      <c r="B363" s="4" t="s">
        <v>21</v>
      </c>
      <c r="C363" s="4" t="s">
        <v>8</v>
      </c>
      <c r="D363" s="9">
        <v>74565</v>
      </c>
      <c r="E363" s="12">
        <v>1</v>
      </c>
      <c r="F363" s="13">
        <f t="shared" si="0"/>
        <v>-74565</v>
      </c>
      <c r="G363" s="21">
        <v>44273</v>
      </c>
    </row>
    <row r="364" spans="1:7">
      <c r="A364" s="7">
        <v>0.3228125</v>
      </c>
      <c r="B364" s="4" t="s">
        <v>23</v>
      </c>
      <c r="C364" s="4" t="s">
        <v>7</v>
      </c>
      <c r="D364" s="9">
        <v>73769</v>
      </c>
      <c r="E364" s="12">
        <v>1</v>
      </c>
      <c r="F364" s="13">
        <f t="shared" si="0"/>
        <v>73769</v>
      </c>
      <c r="G364" s="21">
        <v>44273</v>
      </c>
    </row>
    <row r="365" spans="1:7">
      <c r="A365" s="7">
        <v>0.3228125</v>
      </c>
      <c r="B365" s="4" t="s">
        <v>21</v>
      </c>
      <c r="C365" s="4" t="s">
        <v>8</v>
      </c>
      <c r="D365" s="9">
        <v>74565</v>
      </c>
      <c r="E365" s="12">
        <v>1</v>
      </c>
      <c r="F365" s="13">
        <f t="shared" si="0"/>
        <v>-74565</v>
      </c>
      <c r="G365" s="21">
        <v>44273</v>
      </c>
    </row>
    <row r="366" spans="1:7">
      <c r="A366" s="7">
        <v>0.3228125</v>
      </c>
      <c r="B366" s="4" t="s">
        <v>23</v>
      </c>
      <c r="C366" s="4" t="s">
        <v>7</v>
      </c>
      <c r="D366" s="9">
        <v>73769</v>
      </c>
      <c r="E366" s="12">
        <v>1</v>
      </c>
      <c r="F366" s="13">
        <f t="shared" si="0"/>
        <v>73769</v>
      </c>
      <c r="G366" s="21">
        <v>44273</v>
      </c>
    </row>
    <row r="367" spans="1:7">
      <c r="A367" s="7">
        <v>0.3228125</v>
      </c>
      <c r="B367" s="4" t="s">
        <v>21</v>
      </c>
      <c r="C367" s="4" t="s">
        <v>8</v>
      </c>
      <c r="D367" s="9">
        <v>74565</v>
      </c>
      <c r="E367" s="12">
        <v>1</v>
      </c>
      <c r="F367" s="13">
        <f t="shared" si="0"/>
        <v>-74565</v>
      </c>
      <c r="G367" s="21">
        <v>44273</v>
      </c>
    </row>
    <row r="368" spans="1:7">
      <c r="A368" s="7">
        <v>0.3228125</v>
      </c>
      <c r="B368" s="4" t="s">
        <v>23</v>
      </c>
      <c r="C368" s="4" t="s">
        <v>7</v>
      </c>
      <c r="D368" s="9">
        <v>73769</v>
      </c>
      <c r="E368" s="12">
        <v>1</v>
      </c>
      <c r="F368" s="13">
        <f t="shared" si="0"/>
        <v>73769</v>
      </c>
      <c r="G368" s="21">
        <v>44273</v>
      </c>
    </row>
    <row r="369" spans="1:7">
      <c r="A369" s="7">
        <v>0.32274305555555555</v>
      </c>
      <c r="B369" s="4" t="s">
        <v>21</v>
      </c>
      <c r="C369" s="4" t="s">
        <v>8</v>
      </c>
      <c r="D369" s="9">
        <v>74565</v>
      </c>
      <c r="E369" s="12">
        <v>1</v>
      </c>
      <c r="F369" s="13">
        <f t="shared" si="0"/>
        <v>-74565</v>
      </c>
      <c r="G369" s="21">
        <v>44273</v>
      </c>
    </row>
    <row r="370" spans="1:7">
      <c r="A370" s="7">
        <v>0.32274305555555555</v>
      </c>
      <c r="B370" s="4" t="s">
        <v>23</v>
      </c>
      <c r="C370" s="4" t="s">
        <v>7</v>
      </c>
      <c r="D370" s="9">
        <v>73769</v>
      </c>
      <c r="E370" s="12">
        <v>1</v>
      </c>
      <c r="F370" s="13">
        <f t="shared" si="0"/>
        <v>73769</v>
      </c>
      <c r="G370" s="21">
        <v>44273</v>
      </c>
    </row>
    <row r="371" spans="1:7">
      <c r="A371" s="7">
        <v>0.32274305555555555</v>
      </c>
      <c r="B371" s="4" t="s">
        <v>21</v>
      </c>
      <c r="C371" s="4" t="s">
        <v>8</v>
      </c>
      <c r="D371" s="9">
        <v>74564</v>
      </c>
      <c r="E371" s="12">
        <v>1</v>
      </c>
      <c r="F371" s="13">
        <f t="shared" si="0"/>
        <v>-74564</v>
      </c>
      <c r="G371" s="21">
        <v>44273</v>
      </c>
    </row>
    <row r="372" spans="1:7">
      <c r="A372" s="7">
        <v>0.32274305555555555</v>
      </c>
      <c r="B372" s="4" t="s">
        <v>23</v>
      </c>
      <c r="C372" s="4" t="s">
        <v>7</v>
      </c>
      <c r="D372" s="9">
        <v>73768</v>
      </c>
      <c r="E372" s="12">
        <v>1</v>
      </c>
      <c r="F372" s="13">
        <f t="shared" si="0"/>
        <v>73768</v>
      </c>
      <c r="G372" s="21">
        <v>44273</v>
      </c>
    </row>
    <row r="373" spans="1:7">
      <c r="A373" s="7">
        <v>0.32274305555555555</v>
      </c>
      <c r="B373" s="4" t="s">
        <v>21</v>
      </c>
      <c r="C373" s="4" t="s">
        <v>8</v>
      </c>
      <c r="D373" s="9">
        <v>74564</v>
      </c>
      <c r="E373" s="12">
        <v>1</v>
      </c>
      <c r="F373" s="13">
        <f t="shared" si="0"/>
        <v>-74564</v>
      </c>
      <c r="G373" s="21">
        <v>44273</v>
      </c>
    </row>
    <row r="374" spans="1:7">
      <c r="A374" s="7">
        <v>0.32274305555555555</v>
      </c>
      <c r="B374" s="4" t="s">
        <v>23</v>
      </c>
      <c r="C374" s="4" t="s">
        <v>7</v>
      </c>
      <c r="D374" s="9">
        <v>73768</v>
      </c>
      <c r="E374" s="12">
        <v>1</v>
      </c>
      <c r="F374" s="13">
        <f t="shared" si="0"/>
        <v>73768</v>
      </c>
      <c r="G374" s="21">
        <v>44273</v>
      </c>
    </row>
    <row r="375" spans="1:7">
      <c r="A375" s="7">
        <v>0.32273148148148151</v>
      </c>
      <c r="B375" s="4" t="s">
        <v>21</v>
      </c>
      <c r="C375" s="4" t="s">
        <v>8</v>
      </c>
      <c r="D375" s="9">
        <v>74564</v>
      </c>
      <c r="E375" s="12">
        <v>1</v>
      </c>
      <c r="F375" s="13">
        <f t="shared" si="0"/>
        <v>-74564</v>
      </c>
      <c r="G375" s="21">
        <v>44273</v>
      </c>
    </row>
    <row r="376" spans="1:7">
      <c r="A376" s="7">
        <v>0.32273148148148151</v>
      </c>
      <c r="B376" s="4" t="s">
        <v>23</v>
      </c>
      <c r="C376" s="4" t="s">
        <v>7</v>
      </c>
      <c r="D376" s="9">
        <v>73768</v>
      </c>
      <c r="E376" s="12">
        <v>1</v>
      </c>
      <c r="F376" s="13">
        <f t="shared" si="0"/>
        <v>73768</v>
      </c>
      <c r="G376" s="21">
        <v>44273</v>
      </c>
    </row>
    <row r="377" spans="1:7">
      <c r="A377" s="7">
        <v>0.32270833333333332</v>
      </c>
      <c r="B377" s="4" t="s">
        <v>21</v>
      </c>
      <c r="C377" s="4" t="s">
        <v>8</v>
      </c>
      <c r="D377" s="9">
        <v>74562</v>
      </c>
      <c r="E377" s="12">
        <v>1</v>
      </c>
      <c r="F377" s="13">
        <f t="shared" si="0"/>
        <v>-74562</v>
      </c>
      <c r="G377" s="21">
        <v>44273</v>
      </c>
    </row>
    <row r="378" spans="1:7">
      <c r="A378" s="7">
        <v>0.32270833333333332</v>
      </c>
      <c r="B378" s="4" t="s">
        <v>23</v>
      </c>
      <c r="C378" s="4" t="s">
        <v>7</v>
      </c>
      <c r="D378" s="9">
        <v>73766</v>
      </c>
      <c r="E378" s="12">
        <v>1</v>
      </c>
      <c r="F378" s="13">
        <f t="shared" si="0"/>
        <v>73766</v>
      </c>
      <c r="G378" s="21">
        <v>44273</v>
      </c>
    </row>
    <row r="379" spans="1:7">
      <c r="A379" s="7">
        <v>0.3225925925925926</v>
      </c>
      <c r="B379" s="4" t="s">
        <v>21</v>
      </c>
      <c r="C379" s="4" t="s">
        <v>8</v>
      </c>
      <c r="D379" s="9">
        <v>74555</v>
      </c>
      <c r="E379" s="12">
        <v>1</v>
      </c>
      <c r="F379" s="13">
        <f t="shared" si="0"/>
        <v>-74555</v>
      </c>
      <c r="G379" s="21">
        <v>44273</v>
      </c>
    </row>
    <row r="380" spans="1:7">
      <c r="A380" s="7">
        <v>0.3225925925925926</v>
      </c>
      <c r="B380" s="4" t="s">
        <v>23</v>
      </c>
      <c r="C380" s="4" t="s">
        <v>7</v>
      </c>
      <c r="D380" s="9">
        <v>73759</v>
      </c>
      <c r="E380" s="12">
        <v>1</v>
      </c>
      <c r="F380" s="13">
        <f t="shared" si="0"/>
        <v>73759</v>
      </c>
      <c r="G380" s="21">
        <v>44273</v>
      </c>
    </row>
    <row r="381" spans="1:7">
      <c r="A381" s="7">
        <v>0.3225925925925926</v>
      </c>
      <c r="B381" s="4" t="s">
        <v>21</v>
      </c>
      <c r="C381" s="4" t="s">
        <v>8</v>
      </c>
      <c r="D381" s="9">
        <v>74555</v>
      </c>
      <c r="E381" s="12">
        <v>1</v>
      </c>
      <c r="F381" s="13">
        <f t="shared" si="0"/>
        <v>-74555</v>
      </c>
      <c r="G381" s="21">
        <v>44273</v>
      </c>
    </row>
    <row r="382" spans="1:7">
      <c r="A382" s="7">
        <v>0.3225925925925926</v>
      </c>
      <c r="B382" s="4" t="s">
        <v>23</v>
      </c>
      <c r="C382" s="4" t="s">
        <v>7</v>
      </c>
      <c r="D382" s="9">
        <v>73759</v>
      </c>
      <c r="E382" s="12">
        <v>1</v>
      </c>
      <c r="F382" s="13">
        <f t="shared" si="0"/>
        <v>73759</v>
      </c>
      <c r="G382" s="21">
        <v>44273</v>
      </c>
    </row>
    <row r="383" spans="1:7">
      <c r="A383" s="7">
        <v>0.32047453703703704</v>
      </c>
      <c r="B383" s="4" t="s">
        <v>21</v>
      </c>
      <c r="C383" s="4" t="s">
        <v>8</v>
      </c>
      <c r="D383" s="9">
        <v>74550</v>
      </c>
      <c r="E383" s="12">
        <v>1</v>
      </c>
      <c r="F383" s="13">
        <f t="shared" si="0"/>
        <v>-74550</v>
      </c>
      <c r="G383" s="21">
        <v>44273</v>
      </c>
    </row>
    <row r="384" spans="1:7">
      <c r="A384" s="7">
        <v>0.32047453703703704</v>
      </c>
      <c r="B384" s="4" t="s">
        <v>23</v>
      </c>
      <c r="C384" s="4" t="s">
        <v>7</v>
      </c>
      <c r="D384" s="9">
        <v>73754</v>
      </c>
      <c r="E384" s="12">
        <v>1</v>
      </c>
      <c r="F384" s="13">
        <f t="shared" si="0"/>
        <v>73754</v>
      </c>
      <c r="G384" s="21">
        <v>44273</v>
      </c>
    </row>
    <row r="385" spans="1:7">
      <c r="A385" s="7">
        <v>0.32045138888888891</v>
      </c>
      <c r="B385" s="4" t="s">
        <v>21</v>
      </c>
      <c r="C385" s="4" t="s">
        <v>8</v>
      </c>
      <c r="D385" s="9">
        <v>74554</v>
      </c>
      <c r="E385" s="12">
        <v>1</v>
      </c>
      <c r="F385" s="13">
        <f t="shared" si="0"/>
        <v>-74554</v>
      </c>
      <c r="G385" s="21">
        <v>44273</v>
      </c>
    </row>
    <row r="386" spans="1:7">
      <c r="A386" s="7">
        <v>0.32045138888888891</v>
      </c>
      <c r="B386" s="4" t="s">
        <v>23</v>
      </c>
      <c r="C386" s="4" t="s">
        <v>7</v>
      </c>
      <c r="D386" s="9">
        <v>73758</v>
      </c>
      <c r="E386" s="12">
        <v>1</v>
      </c>
      <c r="F386" s="13">
        <f t="shared" si="0"/>
        <v>73758</v>
      </c>
      <c r="G386" s="21">
        <v>44273</v>
      </c>
    </row>
    <row r="387" spans="1:7">
      <c r="A387" s="7">
        <v>0.32039351851851849</v>
      </c>
      <c r="B387" s="4" t="s">
        <v>21</v>
      </c>
      <c r="C387" s="4" t="s">
        <v>8</v>
      </c>
      <c r="D387" s="9">
        <v>74553</v>
      </c>
      <c r="E387" s="12">
        <v>1</v>
      </c>
      <c r="F387" s="13">
        <f t="shared" si="0"/>
        <v>-74553</v>
      </c>
      <c r="G387" s="21">
        <v>44273</v>
      </c>
    </row>
    <row r="388" spans="1:7">
      <c r="A388" s="7">
        <v>0.32039351851851849</v>
      </c>
      <c r="B388" s="4" t="s">
        <v>23</v>
      </c>
      <c r="C388" s="4" t="s">
        <v>7</v>
      </c>
      <c r="D388" s="9">
        <v>73754</v>
      </c>
      <c r="E388" s="12">
        <v>1</v>
      </c>
      <c r="F388" s="13">
        <f t="shared" si="0"/>
        <v>73754</v>
      </c>
      <c r="G388" s="21">
        <v>44273</v>
      </c>
    </row>
    <row r="389" spans="1:7">
      <c r="A389" s="7">
        <v>0.32035879629629632</v>
      </c>
      <c r="B389" s="4" t="s">
        <v>21</v>
      </c>
      <c r="C389" s="4" t="s">
        <v>8</v>
      </c>
      <c r="D389" s="9">
        <v>74550</v>
      </c>
      <c r="E389" s="12">
        <v>1</v>
      </c>
      <c r="F389" s="13">
        <f t="shared" si="0"/>
        <v>-74550</v>
      </c>
      <c r="G389" s="21">
        <v>44273</v>
      </c>
    </row>
    <row r="390" spans="1:7">
      <c r="A390" s="7">
        <v>0.32035879629629632</v>
      </c>
      <c r="B390" s="4" t="s">
        <v>23</v>
      </c>
      <c r="C390" s="4" t="s">
        <v>7</v>
      </c>
      <c r="D390" s="9">
        <v>73754</v>
      </c>
      <c r="E390" s="12">
        <v>1</v>
      </c>
      <c r="F390" s="13">
        <f t="shared" si="0"/>
        <v>73754</v>
      </c>
      <c r="G390" s="21">
        <v>44273</v>
      </c>
    </row>
    <row r="391" spans="1:7">
      <c r="A391" s="7">
        <v>0.32035879629629632</v>
      </c>
      <c r="B391" s="4" t="s">
        <v>21</v>
      </c>
      <c r="C391" s="4" t="s">
        <v>8</v>
      </c>
      <c r="D391" s="9">
        <v>74550</v>
      </c>
      <c r="E391" s="12">
        <v>1</v>
      </c>
      <c r="F391" s="13">
        <f t="shared" si="0"/>
        <v>-74550</v>
      </c>
      <c r="G391" s="21">
        <v>44273</v>
      </c>
    </row>
    <row r="392" spans="1:7">
      <c r="A392" s="7">
        <v>0.32035879629629632</v>
      </c>
      <c r="B392" s="4" t="s">
        <v>23</v>
      </c>
      <c r="C392" s="4" t="s">
        <v>7</v>
      </c>
      <c r="D392" s="9">
        <v>73754</v>
      </c>
      <c r="E392" s="12">
        <v>1</v>
      </c>
      <c r="F392" s="13">
        <f t="shared" si="0"/>
        <v>73754</v>
      </c>
      <c r="G392" s="21">
        <v>44273</v>
      </c>
    </row>
    <row r="393" spans="1:7">
      <c r="A393" s="7">
        <v>0.32026620370370368</v>
      </c>
      <c r="B393" s="4" t="s">
        <v>21</v>
      </c>
      <c r="C393" s="4" t="s">
        <v>8</v>
      </c>
      <c r="D393" s="9">
        <v>74555</v>
      </c>
      <c r="E393" s="12">
        <v>1</v>
      </c>
      <c r="F393" s="13">
        <f t="shared" si="0"/>
        <v>-74555</v>
      </c>
      <c r="G393" s="21">
        <v>44273</v>
      </c>
    </row>
    <row r="394" spans="1:7">
      <c r="A394" s="7">
        <v>0.32026620370370368</v>
      </c>
      <c r="B394" s="4" t="s">
        <v>23</v>
      </c>
      <c r="C394" s="4" t="s">
        <v>7</v>
      </c>
      <c r="D394" s="9">
        <v>73759</v>
      </c>
      <c r="E394" s="12">
        <v>1</v>
      </c>
      <c r="F394" s="13">
        <f t="shared" si="0"/>
        <v>73759</v>
      </c>
      <c r="G394" s="21">
        <v>44273</v>
      </c>
    </row>
    <row r="395" spans="1:7">
      <c r="A395" s="7">
        <v>0.3200925925925926</v>
      </c>
      <c r="B395" s="4" t="s">
        <v>21</v>
      </c>
      <c r="C395" s="4" t="s">
        <v>8</v>
      </c>
      <c r="D395" s="9">
        <v>74559</v>
      </c>
      <c r="E395" s="12">
        <v>1</v>
      </c>
      <c r="F395" s="13">
        <f t="shared" si="0"/>
        <v>-74559</v>
      </c>
      <c r="G395" s="21">
        <v>44273</v>
      </c>
    </row>
    <row r="396" spans="1:7">
      <c r="A396" s="7">
        <v>0.3200925925925926</v>
      </c>
      <c r="B396" s="4" t="s">
        <v>23</v>
      </c>
      <c r="C396" s="4" t="s">
        <v>7</v>
      </c>
      <c r="D396" s="9">
        <v>73763</v>
      </c>
      <c r="E396" s="12">
        <v>1</v>
      </c>
      <c r="F396" s="13">
        <f t="shared" si="0"/>
        <v>73763</v>
      </c>
      <c r="G396" s="21">
        <v>44273</v>
      </c>
    </row>
    <row r="397" spans="1:7">
      <c r="A397" s="7">
        <v>0.31874999999999998</v>
      </c>
      <c r="B397" s="4" t="s">
        <v>21</v>
      </c>
      <c r="C397" s="4" t="s">
        <v>8</v>
      </c>
      <c r="D397" s="9">
        <v>74560</v>
      </c>
      <c r="E397" s="12">
        <v>1</v>
      </c>
      <c r="F397" s="13">
        <f t="shared" si="0"/>
        <v>-74560</v>
      </c>
      <c r="G397" s="21">
        <v>44273</v>
      </c>
    </row>
    <row r="398" spans="1:7">
      <c r="A398" s="7">
        <v>0.31874999999999998</v>
      </c>
      <c r="B398" s="4" t="s">
        <v>23</v>
      </c>
      <c r="C398" s="4" t="s">
        <v>7</v>
      </c>
      <c r="D398" s="9">
        <v>73765</v>
      </c>
      <c r="E398" s="12">
        <v>1</v>
      </c>
      <c r="F398" s="13">
        <f t="shared" si="0"/>
        <v>73765</v>
      </c>
      <c r="G398" s="21">
        <v>44273</v>
      </c>
    </row>
    <row r="399" spans="1:7">
      <c r="A399" s="7">
        <v>0.31731481481481483</v>
      </c>
      <c r="B399" s="4" t="s">
        <v>21</v>
      </c>
      <c r="C399" s="4" t="s">
        <v>8</v>
      </c>
      <c r="D399" s="9">
        <v>74549</v>
      </c>
      <c r="E399" s="12">
        <v>1</v>
      </c>
      <c r="F399" s="13">
        <f t="shared" si="0"/>
        <v>-74549</v>
      </c>
      <c r="G399" s="21">
        <v>44273</v>
      </c>
    </row>
    <row r="400" spans="1:7">
      <c r="A400" s="7">
        <v>0.31731481481481483</v>
      </c>
      <c r="B400" s="4" t="s">
        <v>23</v>
      </c>
      <c r="C400" s="4" t="s">
        <v>7</v>
      </c>
      <c r="D400" s="9">
        <v>73753</v>
      </c>
      <c r="E400" s="12">
        <v>1</v>
      </c>
      <c r="F400" s="13">
        <f t="shared" si="0"/>
        <v>73753</v>
      </c>
      <c r="G400" s="21">
        <v>44273</v>
      </c>
    </row>
    <row r="401" spans="1:7">
      <c r="A401" s="7">
        <v>0.31731481481481483</v>
      </c>
      <c r="B401" s="4" t="s">
        <v>21</v>
      </c>
      <c r="C401" s="4" t="s">
        <v>8</v>
      </c>
      <c r="D401" s="9">
        <v>74549</v>
      </c>
      <c r="E401" s="12">
        <v>1</v>
      </c>
      <c r="F401" s="13">
        <f t="shared" si="0"/>
        <v>-74549</v>
      </c>
      <c r="G401" s="21">
        <v>44273</v>
      </c>
    </row>
    <row r="402" spans="1:7">
      <c r="A402" s="7">
        <v>0.31731481481481483</v>
      </c>
      <c r="B402" s="4" t="s">
        <v>23</v>
      </c>
      <c r="C402" s="4" t="s">
        <v>7</v>
      </c>
      <c r="D402" s="9">
        <v>73753</v>
      </c>
      <c r="E402" s="12">
        <v>1</v>
      </c>
      <c r="F402" s="13">
        <f t="shared" si="0"/>
        <v>73753</v>
      </c>
      <c r="G402" s="21">
        <v>44273</v>
      </c>
    </row>
    <row r="403" spans="1:7">
      <c r="A403" s="7">
        <v>0.31730324074074073</v>
      </c>
      <c r="B403" s="4" t="s">
        <v>21</v>
      </c>
      <c r="C403" s="4" t="s">
        <v>8</v>
      </c>
      <c r="D403" s="9">
        <v>74549</v>
      </c>
      <c r="E403" s="12">
        <v>2</v>
      </c>
      <c r="F403" s="13">
        <f t="shared" si="0"/>
        <v>-149098</v>
      </c>
      <c r="G403" s="21">
        <v>44273</v>
      </c>
    </row>
    <row r="404" spans="1:7">
      <c r="A404" s="7">
        <v>0.31730324074074073</v>
      </c>
      <c r="B404" s="4" t="s">
        <v>23</v>
      </c>
      <c r="C404" s="4" t="s">
        <v>7</v>
      </c>
      <c r="D404" s="9">
        <v>73753</v>
      </c>
      <c r="E404" s="12">
        <v>2</v>
      </c>
      <c r="F404" s="13">
        <f t="shared" si="0"/>
        <v>147506</v>
      </c>
      <c r="G404" s="21">
        <v>44273</v>
      </c>
    </row>
    <row r="405" spans="1:7">
      <c r="A405" s="7">
        <v>0.31717592592592592</v>
      </c>
      <c r="B405" s="4" t="s">
        <v>21</v>
      </c>
      <c r="C405" s="4" t="s">
        <v>8</v>
      </c>
      <c r="D405" s="9">
        <v>74549</v>
      </c>
      <c r="E405" s="12">
        <v>1</v>
      </c>
      <c r="F405" s="13">
        <f t="shared" si="0"/>
        <v>-74549</v>
      </c>
      <c r="G405" s="21">
        <v>44273</v>
      </c>
    </row>
    <row r="406" spans="1:7">
      <c r="A406" s="7">
        <v>0.31717592592592592</v>
      </c>
      <c r="B406" s="4" t="s">
        <v>23</v>
      </c>
      <c r="C406" s="4" t="s">
        <v>7</v>
      </c>
      <c r="D406" s="9">
        <v>73753</v>
      </c>
      <c r="E406" s="12">
        <v>1</v>
      </c>
      <c r="F406" s="13">
        <f t="shared" si="0"/>
        <v>73753</v>
      </c>
      <c r="G406" s="21">
        <v>44273</v>
      </c>
    </row>
    <row r="407" spans="1:7">
      <c r="A407" s="7">
        <v>0.31708333333333333</v>
      </c>
      <c r="B407" s="4" t="s">
        <v>21</v>
      </c>
      <c r="C407" s="4" t="s">
        <v>8</v>
      </c>
      <c r="D407" s="9">
        <v>74549</v>
      </c>
      <c r="E407" s="12">
        <v>3</v>
      </c>
      <c r="F407" s="13">
        <f t="shared" si="0"/>
        <v>-223647</v>
      </c>
      <c r="G407" s="21">
        <v>44273</v>
      </c>
    </row>
    <row r="408" spans="1:7">
      <c r="A408" s="7">
        <v>0.31708333333333333</v>
      </c>
      <c r="B408" s="4" t="s">
        <v>23</v>
      </c>
      <c r="C408" s="4" t="s">
        <v>7</v>
      </c>
      <c r="D408" s="9">
        <v>73753</v>
      </c>
      <c r="E408" s="12">
        <v>3</v>
      </c>
      <c r="F408" s="13">
        <f t="shared" si="0"/>
        <v>221259</v>
      </c>
      <c r="G408" s="21">
        <v>44273</v>
      </c>
    </row>
    <row r="409" spans="1:7">
      <c r="A409" s="7">
        <v>0.31707175925925923</v>
      </c>
      <c r="B409" s="4" t="s">
        <v>21</v>
      </c>
      <c r="C409" s="4" t="s">
        <v>8</v>
      </c>
      <c r="D409" s="9">
        <v>74549</v>
      </c>
      <c r="E409" s="12">
        <v>3</v>
      </c>
      <c r="F409" s="13">
        <f t="shared" si="0"/>
        <v>-223647</v>
      </c>
      <c r="G409" s="21">
        <v>44273</v>
      </c>
    </row>
    <row r="410" spans="1:7">
      <c r="A410" s="7">
        <v>0.31707175925925923</v>
      </c>
      <c r="B410" s="4" t="s">
        <v>23</v>
      </c>
      <c r="C410" s="4" t="s">
        <v>7</v>
      </c>
      <c r="D410" s="9">
        <v>73753</v>
      </c>
      <c r="E410" s="12">
        <v>3</v>
      </c>
      <c r="F410" s="13">
        <f t="shared" si="0"/>
        <v>221259</v>
      </c>
      <c r="G410" s="21">
        <v>44273</v>
      </c>
    </row>
    <row r="411" spans="1:7">
      <c r="A411" s="7">
        <v>0.31623842592592594</v>
      </c>
      <c r="B411" s="4" t="s">
        <v>21</v>
      </c>
      <c r="C411" s="4" t="s">
        <v>8</v>
      </c>
      <c r="D411" s="9">
        <v>74540</v>
      </c>
      <c r="E411" s="12">
        <v>1</v>
      </c>
      <c r="F411" s="13">
        <f t="shared" si="0"/>
        <v>-74540</v>
      </c>
      <c r="G411" s="21">
        <v>44273</v>
      </c>
    </row>
    <row r="412" spans="1:7">
      <c r="A412" s="7">
        <v>0.31623842592592594</v>
      </c>
      <c r="B412" s="4" t="s">
        <v>23</v>
      </c>
      <c r="C412" s="4" t="s">
        <v>7</v>
      </c>
      <c r="D412" s="9">
        <v>73744</v>
      </c>
      <c r="E412" s="12">
        <v>1</v>
      </c>
      <c r="F412" s="13">
        <f t="shared" si="0"/>
        <v>73744</v>
      </c>
      <c r="G412" s="21">
        <v>44273</v>
      </c>
    </row>
    <row r="413" spans="1:7">
      <c r="A413" s="7">
        <v>0.31618055555555558</v>
      </c>
      <c r="B413" s="4" t="s">
        <v>21</v>
      </c>
      <c r="C413" s="4" t="s">
        <v>8</v>
      </c>
      <c r="D413" s="9">
        <v>74540</v>
      </c>
      <c r="E413" s="12">
        <v>1</v>
      </c>
      <c r="F413" s="13">
        <f t="shared" si="0"/>
        <v>-74540</v>
      </c>
      <c r="G413" s="21">
        <v>44273</v>
      </c>
    </row>
    <row r="414" spans="1:7">
      <c r="A414" s="7">
        <v>0.31618055555555558</v>
      </c>
      <c r="B414" s="4" t="s">
        <v>23</v>
      </c>
      <c r="C414" s="4" t="s">
        <v>7</v>
      </c>
      <c r="D414" s="9">
        <v>73744</v>
      </c>
      <c r="E414" s="12">
        <v>1</v>
      </c>
      <c r="F414" s="13">
        <f t="shared" si="0"/>
        <v>73744</v>
      </c>
      <c r="G414" s="21">
        <v>44273</v>
      </c>
    </row>
    <row r="415" spans="1:7">
      <c r="A415" s="7">
        <v>0.31144675925925924</v>
      </c>
      <c r="B415" s="4" t="s">
        <v>21</v>
      </c>
      <c r="C415" s="4" t="s">
        <v>8</v>
      </c>
      <c r="D415" s="9">
        <v>74620</v>
      </c>
      <c r="E415" s="12">
        <v>5</v>
      </c>
      <c r="F415" s="13">
        <f t="shared" si="0"/>
        <v>-373100</v>
      </c>
      <c r="G415" s="21">
        <v>44273</v>
      </c>
    </row>
    <row r="416" spans="1:7">
      <c r="A416" s="7">
        <v>0.31144675925925924</v>
      </c>
      <c r="B416" s="4" t="s">
        <v>23</v>
      </c>
      <c r="C416" s="4" t="s">
        <v>7</v>
      </c>
      <c r="D416" s="9">
        <v>73817</v>
      </c>
      <c r="E416" s="12">
        <v>5</v>
      </c>
      <c r="F416" s="13">
        <f t="shared" si="0"/>
        <v>369085</v>
      </c>
      <c r="G416" s="21">
        <v>44273</v>
      </c>
    </row>
    <row r="417" spans="1:7">
      <c r="A417" s="7">
        <v>0.30633101851851852</v>
      </c>
      <c r="B417" s="4" t="s">
        <v>21</v>
      </c>
      <c r="C417" s="4" t="s">
        <v>8</v>
      </c>
      <c r="D417" s="9">
        <v>74577</v>
      </c>
      <c r="E417" s="12">
        <v>1</v>
      </c>
      <c r="F417" s="13">
        <f t="shared" si="0"/>
        <v>-74577</v>
      </c>
      <c r="G417" s="21">
        <v>44273</v>
      </c>
    </row>
    <row r="418" spans="1:7">
      <c r="A418" s="7">
        <v>0.30633101851851852</v>
      </c>
      <c r="B418" s="4" t="s">
        <v>21</v>
      </c>
      <c r="C418" s="4" t="s">
        <v>8</v>
      </c>
      <c r="D418" s="9">
        <v>74575</v>
      </c>
      <c r="E418" s="12">
        <v>1</v>
      </c>
      <c r="F418" s="13">
        <f t="shared" si="0"/>
        <v>-74575</v>
      </c>
      <c r="G418" s="21">
        <v>44273</v>
      </c>
    </row>
    <row r="419" spans="1:7">
      <c r="A419" s="7">
        <v>0.30633101851851852</v>
      </c>
      <c r="B419" s="4" t="s">
        <v>23</v>
      </c>
      <c r="C419" s="4" t="s">
        <v>7</v>
      </c>
      <c r="D419" s="9">
        <v>73777</v>
      </c>
      <c r="E419" s="12">
        <v>1</v>
      </c>
      <c r="F419" s="13">
        <f t="shared" si="0"/>
        <v>73777</v>
      </c>
      <c r="G419" s="21">
        <v>44273</v>
      </c>
    </row>
    <row r="420" spans="1:7">
      <c r="A420" s="7">
        <v>0.30633101851851852</v>
      </c>
      <c r="B420" s="4" t="s">
        <v>23</v>
      </c>
      <c r="C420" s="4" t="s">
        <v>7</v>
      </c>
      <c r="D420" s="9">
        <v>73777</v>
      </c>
      <c r="E420" s="12">
        <v>1</v>
      </c>
      <c r="F420" s="13">
        <f t="shared" si="0"/>
        <v>73777</v>
      </c>
      <c r="G420" s="21">
        <v>44273</v>
      </c>
    </row>
    <row r="421" spans="1:7">
      <c r="A421" s="7">
        <v>0.3056712962962963</v>
      </c>
      <c r="B421" s="4" t="s">
        <v>18</v>
      </c>
      <c r="C421" s="4" t="s">
        <v>7</v>
      </c>
      <c r="D421" s="9">
        <v>1746.8</v>
      </c>
      <c r="E421" s="12">
        <v>5</v>
      </c>
      <c r="F421" s="13">
        <f t="shared" si="0"/>
        <v>8734</v>
      </c>
      <c r="G421" s="21">
        <v>44273</v>
      </c>
    </row>
    <row r="422" spans="1:7">
      <c r="A422" s="7">
        <v>0.30100694444444442</v>
      </c>
      <c r="B422" s="4" t="s">
        <v>18</v>
      </c>
      <c r="C422" s="4" t="s">
        <v>8</v>
      </c>
      <c r="D422" s="9">
        <v>1748.1</v>
      </c>
      <c r="E422" s="12">
        <v>5</v>
      </c>
      <c r="F422" s="13">
        <f t="shared" si="0"/>
        <v>-8740.5</v>
      </c>
      <c r="G422" s="21">
        <v>44273</v>
      </c>
    </row>
    <row r="423" spans="1:7">
      <c r="A423" s="7">
        <v>0.90552083333333333</v>
      </c>
      <c r="B423" s="4" t="s">
        <v>21</v>
      </c>
      <c r="C423" s="4" t="s">
        <v>8</v>
      </c>
      <c r="D423" s="9">
        <v>74426</v>
      </c>
      <c r="E423" s="12">
        <v>3</v>
      </c>
      <c r="F423" s="13">
        <f t="shared" si="0"/>
        <v>-223278</v>
      </c>
      <c r="G423" s="21">
        <v>44272</v>
      </c>
    </row>
    <row r="424" spans="1:7">
      <c r="A424" s="7">
        <v>0.90552083333333333</v>
      </c>
      <c r="B424" s="4" t="s">
        <v>23</v>
      </c>
      <c r="C424" s="4" t="s">
        <v>7</v>
      </c>
      <c r="D424" s="9">
        <v>73636</v>
      </c>
      <c r="E424" s="12">
        <v>3</v>
      </c>
      <c r="F424" s="13">
        <f t="shared" si="0"/>
        <v>220908</v>
      </c>
      <c r="G424" s="21">
        <v>44272</v>
      </c>
    </row>
    <row r="425" spans="1:7">
      <c r="A425" s="7">
        <v>0.87761574074074078</v>
      </c>
      <c r="B425" s="4" t="s">
        <v>21</v>
      </c>
      <c r="C425" s="4" t="s">
        <v>8</v>
      </c>
      <c r="D425" s="9">
        <v>74678</v>
      </c>
      <c r="E425" s="12">
        <v>2</v>
      </c>
      <c r="F425" s="13">
        <f t="shared" si="0"/>
        <v>-149356</v>
      </c>
      <c r="G425" s="21">
        <v>44272</v>
      </c>
    </row>
    <row r="426" spans="1:7">
      <c r="A426" s="7">
        <v>0.87761574074074078</v>
      </c>
      <c r="B426" s="4" t="s">
        <v>21</v>
      </c>
      <c r="C426" s="4" t="s">
        <v>8</v>
      </c>
      <c r="D426" s="9">
        <v>74665</v>
      </c>
      <c r="E426" s="12">
        <v>1</v>
      </c>
      <c r="F426" s="13">
        <f t="shared" si="0"/>
        <v>-74665</v>
      </c>
      <c r="G426" s="21">
        <v>44272</v>
      </c>
    </row>
    <row r="427" spans="1:7">
      <c r="A427" s="7">
        <v>0.87761574074074078</v>
      </c>
      <c r="B427" s="4" t="s">
        <v>23</v>
      </c>
      <c r="C427" s="4" t="s">
        <v>7</v>
      </c>
      <c r="D427" s="9">
        <v>73885</v>
      </c>
      <c r="E427" s="12">
        <v>3</v>
      </c>
      <c r="F427" s="13">
        <f t="shared" si="0"/>
        <v>221655</v>
      </c>
      <c r="G427" s="21">
        <v>44272</v>
      </c>
    </row>
    <row r="428" spans="1:7">
      <c r="A428" s="7">
        <v>0.87678240740740743</v>
      </c>
      <c r="B428" s="4" t="s">
        <v>18</v>
      </c>
      <c r="C428" s="4" t="s">
        <v>8</v>
      </c>
      <c r="D428" s="9">
        <v>1739.5</v>
      </c>
      <c r="E428" s="12">
        <v>1</v>
      </c>
      <c r="F428" s="13">
        <f t="shared" si="0"/>
        <v>-1739.5</v>
      </c>
      <c r="G428" s="21">
        <v>44272</v>
      </c>
    </row>
    <row r="429" spans="1:7">
      <c r="A429" s="7">
        <v>0.87678240740740743</v>
      </c>
      <c r="B429" s="4" t="s">
        <v>18</v>
      </c>
      <c r="C429" s="4" t="s">
        <v>8</v>
      </c>
      <c r="D429" s="9">
        <v>1739.4</v>
      </c>
      <c r="E429" s="12">
        <v>1</v>
      </c>
      <c r="F429" s="13">
        <f t="shared" si="0"/>
        <v>-1739.4</v>
      </c>
      <c r="G429" s="21">
        <v>44272</v>
      </c>
    </row>
    <row r="430" spans="1:7">
      <c r="A430" s="7">
        <v>0.875</v>
      </c>
      <c r="B430" s="4" t="s">
        <v>18</v>
      </c>
      <c r="C430" s="4" t="s">
        <v>8</v>
      </c>
      <c r="D430" s="9">
        <v>1732.8</v>
      </c>
      <c r="E430" s="12">
        <v>98</v>
      </c>
      <c r="F430" s="13">
        <f t="shared" si="0"/>
        <v>-169814.39999999999</v>
      </c>
      <c r="G430" s="21">
        <v>44272</v>
      </c>
    </row>
    <row r="431" spans="1:7">
      <c r="D431" s="22"/>
      <c r="F431" s="3">
        <f>SUM(F2:F430)</f>
        <v>-397098.02999999997</v>
      </c>
    </row>
    <row r="432" spans="1:7">
      <c r="D432" s="22"/>
      <c r="F432" s="11"/>
    </row>
    <row r="433" spans="4:6">
      <c r="D433" s="22"/>
      <c r="F433" s="11"/>
    </row>
    <row r="434" spans="4:6">
      <c r="D434" s="22"/>
      <c r="F434" s="11"/>
    </row>
    <row r="435" spans="4:6">
      <c r="D435" s="22"/>
      <c r="F435" s="11"/>
    </row>
    <row r="436" spans="4:6">
      <c r="D436" s="22"/>
      <c r="F436" s="11"/>
    </row>
    <row r="437" spans="4:6">
      <c r="D437" s="22"/>
      <c r="F437" s="11"/>
    </row>
    <row r="438" spans="4:6">
      <c r="D438" s="22"/>
      <c r="F438" s="11"/>
    </row>
    <row r="439" spans="4:6">
      <c r="D439" s="22"/>
      <c r="F439" s="11"/>
    </row>
    <row r="440" spans="4:6">
      <c r="D440" s="22"/>
      <c r="F440" s="11"/>
    </row>
    <row r="441" spans="4:6">
      <c r="D441" s="22"/>
      <c r="F441" s="11"/>
    </row>
    <row r="442" spans="4:6">
      <c r="D442" s="22"/>
      <c r="F442" s="11"/>
    </row>
    <row r="443" spans="4:6">
      <c r="D443" s="22"/>
      <c r="F443" s="11"/>
    </row>
    <row r="444" spans="4:6">
      <c r="D444" s="22"/>
      <c r="F444" s="11"/>
    </row>
    <row r="445" spans="4:6">
      <c r="D445" s="22"/>
      <c r="F445" s="11"/>
    </row>
    <row r="446" spans="4:6">
      <c r="D446" s="22"/>
      <c r="F446" s="11"/>
    </row>
    <row r="447" spans="4:6">
      <c r="D447" s="22"/>
      <c r="F447" s="11"/>
    </row>
    <row r="448" spans="4:6">
      <c r="D448" s="22"/>
      <c r="F448" s="11"/>
    </row>
    <row r="449" spans="4:6">
      <c r="D449" s="22"/>
      <c r="F449" s="11"/>
    </row>
    <row r="450" spans="4:6">
      <c r="D450" s="22"/>
      <c r="F450" s="11"/>
    </row>
    <row r="451" spans="4:6">
      <c r="D451" s="22"/>
      <c r="F451" s="11"/>
    </row>
    <row r="452" spans="4:6">
      <c r="D452" s="22"/>
      <c r="F452" s="11"/>
    </row>
    <row r="453" spans="4:6">
      <c r="D453" s="22"/>
      <c r="F453" s="11"/>
    </row>
    <row r="454" spans="4:6">
      <c r="D454" s="22"/>
      <c r="F454" s="11"/>
    </row>
    <row r="455" spans="4:6">
      <c r="D455" s="22"/>
      <c r="F455" s="11"/>
    </row>
    <row r="456" spans="4:6">
      <c r="D456" s="22"/>
      <c r="F456" s="11"/>
    </row>
    <row r="457" spans="4:6">
      <c r="D457" s="22"/>
      <c r="F457" s="11"/>
    </row>
    <row r="458" spans="4:6">
      <c r="D458" s="22"/>
      <c r="F458" s="11"/>
    </row>
    <row r="459" spans="4:6">
      <c r="D459" s="22"/>
      <c r="F459" s="11"/>
    </row>
    <row r="460" spans="4:6">
      <c r="D460" s="22"/>
      <c r="F460" s="11"/>
    </row>
    <row r="461" spans="4:6">
      <c r="D461" s="22"/>
      <c r="F461" s="11"/>
    </row>
    <row r="462" spans="4:6">
      <c r="D462" s="22"/>
      <c r="F462" s="11"/>
    </row>
    <row r="463" spans="4:6">
      <c r="D463" s="22"/>
      <c r="F463" s="11"/>
    </row>
    <row r="464" spans="4:6">
      <c r="D464" s="22"/>
      <c r="F464" s="11"/>
    </row>
    <row r="465" spans="4:6">
      <c r="D465" s="22"/>
      <c r="F465" s="11"/>
    </row>
    <row r="466" spans="4:6">
      <c r="D466" s="22"/>
      <c r="F466" s="11"/>
    </row>
    <row r="467" spans="4:6">
      <c r="D467" s="22"/>
      <c r="F467" s="11"/>
    </row>
    <row r="468" spans="4:6">
      <c r="D468" s="22"/>
      <c r="F468" s="11"/>
    </row>
    <row r="469" spans="4:6">
      <c r="D469" s="22"/>
      <c r="F469" s="11"/>
    </row>
    <row r="470" spans="4:6">
      <c r="D470" s="22"/>
      <c r="F470" s="11"/>
    </row>
    <row r="471" spans="4:6">
      <c r="D471" s="22"/>
      <c r="F471" s="11"/>
    </row>
    <row r="472" spans="4:6">
      <c r="D472" s="22"/>
      <c r="F472" s="11"/>
    </row>
    <row r="473" spans="4:6">
      <c r="D473" s="22"/>
      <c r="F473" s="11"/>
    </row>
    <row r="474" spans="4:6">
      <c r="D474" s="22"/>
      <c r="F474" s="11"/>
    </row>
    <row r="475" spans="4:6">
      <c r="D475" s="22"/>
      <c r="F475" s="11"/>
    </row>
    <row r="476" spans="4:6">
      <c r="D476" s="22"/>
      <c r="F476" s="11"/>
    </row>
    <row r="477" spans="4:6">
      <c r="D477" s="22"/>
      <c r="F477" s="11"/>
    </row>
    <row r="478" spans="4:6">
      <c r="D478" s="22"/>
      <c r="F478" s="11"/>
    </row>
    <row r="479" spans="4:6">
      <c r="D479" s="22"/>
      <c r="F479" s="11"/>
    </row>
    <row r="480" spans="4:6">
      <c r="D480" s="22"/>
      <c r="F480" s="11"/>
    </row>
    <row r="481" spans="4:6">
      <c r="D481" s="22"/>
      <c r="F481" s="11"/>
    </row>
    <row r="482" spans="4:6">
      <c r="D482" s="22"/>
      <c r="F482" s="11"/>
    </row>
    <row r="483" spans="4:6">
      <c r="D483" s="22"/>
      <c r="F483" s="11"/>
    </row>
    <row r="484" spans="4:6">
      <c r="D484" s="22"/>
      <c r="F484" s="11"/>
    </row>
    <row r="485" spans="4:6">
      <c r="D485" s="22"/>
      <c r="F485" s="11"/>
    </row>
    <row r="486" spans="4:6">
      <c r="D486" s="22"/>
      <c r="F486" s="11"/>
    </row>
    <row r="487" spans="4:6">
      <c r="D487" s="22"/>
      <c r="F487" s="11"/>
    </row>
    <row r="488" spans="4:6">
      <c r="D488" s="22"/>
      <c r="F488" s="11"/>
    </row>
    <row r="489" spans="4:6">
      <c r="D489" s="22"/>
      <c r="F489" s="11"/>
    </row>
    <row r="490" spans="4:6">
      <c r="D490" s="22"/>
      <c r="F490" s="11"/>
    </row>
    <row r="491" spans="4:6">
      <c r="D491" s="22"/>
      <c r="F491" s="11"/>
    </row>
    <row r="492" spans="4:6">
      <c r="D492" s="22"/>
      <c r="F492" s="11"/>
    </row>
    <row r="493" spans="4:6">
      <c r="D493" s="22"/>
      <c r="F493" s="11"/>
    </row>
    <row r="494" spans="4:6">
      <c r="D494" s="22"/>
      <c r="F494" s="11"/>
    </row>
    <row r="495" spans="4:6">
      <c r="D495" s="22"/>
      <c r="F495" s="11"/>
    </row>
    <row r="496" spans="4:6">
      <c r="D496" s="22"/>
      <c r="F496" s="11"/>
    </row>
    <row r="497" spans="4:6">
      <c r="D497" s="22"/>
      <c r="F497" s="11"/>
    </row>
    <row r="498" spans="4:6">
      <c r="D498" s="22"/>
      <c r="F498" s="11"/>
    </row>
    <row r="499" spans="4:6">
      <c r="D499" s="22"/>
      <c r="F499" s="11"/>
    </row>
    <row r="500" spans="4:6">
      <c r="D500" s="22"/>
      <c r="F500" s="11"/>
    </row>
    <row r="501" spans="4:6">
      <c r="D501" s="22"/>
      <c r="F501" s="11"/>
    </row>
    <row r="502" spans="4:6">
      <c r="D502" s="22"/>
      <c r="F502" s="11"/>
    </row>
    <row r="503" spans="4:6">
      <c r="D503" s="22"/>
      <c r="F503" s="11"/>
    </row>
    <row r="504" spans="4:6">
      <c r="D504" s="22"/>
      <c r="F504" s="11"/>
    </row>
    <row r="505" spans="4:6">
      <c r="D505" s="22"/>
      <c r="F505" s="11"/>
    </row>
    <row r="506" spans="4:6">
      <c r="D506" s="22"/>
      <c r="F506" s="11"/>
    </row>
    <row r="507" spans="4:6">
      <c r="D507" s="22"/>
      <c r="F507" s="11"/>
    </row>
    <row r="508" spans="4:6">
      <c r="D508" s="22"/>
      <c r="F508" s="11"/>
    </row>
    <row r="509" spans="4:6">
      <c r="D509" s="22"/>
      <c r="F509" s="11"/>
    </row>
    <row r="510" spans="4:6">
      <c r="D510" s="22"/>
      <c r="F510" s="11"/>
    </row>
    <row r="511" spans="4:6">
      <c r="D511" s="22"/>
      <c r="F511" s="11"/>
    </row>
    <row r="512" spans="4:6">
      <c r="D512" s="22"/>
      <c r="F512" s="11"/>
    </row>
    <row r="513" spans="4:6">
      <c r="D513" s="22"/>
      <c r="F513" s="11"/>
    </row>
    <row r="514" spans="4:6">
      <c r="D514" s="22"/>
      <c r="F514" s="11"/>
    </row>
    <row r="515" spans="4:6">
      <c r="D515" s="22"/>
      <c r="F515" s="11"/>
    </row>
    <row r="516" spans="4:6">
      <c r="D516" s="22"/>
      <c r="F516" s="11"/>
    </row>
    <row r="517" spans="4:6">
      <c r="D517" s="22"/>
      <c r="F517" s="11"/>
    </row>
    <row r="518" spans="4:6">
      <c r="D518" s="22"/>
      <c r="F518" s="11"/>
    </row>
    <row r="519" spans="4:6">
      <c r="D519" s="22"/>
      <c r="F519" s="11"/>
    </row>
    <row r="520" spans="4:6">
      <c r="D520" s="22"/>
      <c r="F520" s="11"/>
    </row>
    <row r="521" spans="4:6">
      <c r="D521" s="22"/>
      <c r="F521" s="11"/>
    </row>
    <row r="522" spans="4:6">
      <c r="D522" s="22"/>
      <c r="F522" s="11"/>
    </row>
    <row r="523" spans="4:6">
      <c r="D523" s="22"/>
      <c r="F523" s="11"/>
    </row>
    <row r="524" spans="4:6">
      <c r="D524" s="22"/>
      <c r="F524" s="11"/>
    </row>
    <row r="525" spans="4:6">
      <c r="D525" s="22"/>
      <c r="F525" s="11"/>
    </row>
    <row r="526" spans="4:6">
      <c r="D526" s="22"/>
      <c r="F526" s="11"/>
    </row>
    <row r="527" spans="4:6">
      <c r="D527" s="22"/>
      <c r="F527" s="11"/>
    </row>
    <row r="528" spans="4:6">
      <c r="D528" s="22"/>
      <c r="F528" s="11"/>
    </row>
    <row r="529" spans="4:6">
      <c r="D529" s="22"/>
      <c r="F529" s="11"/>
    </row>
    <row r="530" spans="4:6">
      <c r="D530" s="22"/>
      <c r="F530" s="11"/>
    </row>
    <row r="531" spans="4:6">
      <c r="D531" s="22"/>
      <c r="F531" s="11"/>
    </row>
    <row r="532" spans="4:6">
      <c r="D532" s="22"/>
      <c r="F532" s="11"/>
    </row>
    <row r="533" spans="4:6">
      <c r="D533" s="22"/>
      <c r="F533" s="11"/>
    </row>
    <row r="534" spans="4:6">
      <c r="D534" s="22"/>
      <c r="F534" s="11"/>
    </row>
    <row r="535" spans="4:6">
      <c r="D535" s="22"/>
      <c r="F535" s="11"/>
    </row>
    <row r="536" spans="4:6">
      <c r="D536" s="22"/>
      <c r="F536" s="11"/>
    </row>
    <row r="537" spans="4:6">
      <c r="D537" s="22"/>
      <c r="F537" s="11"/>
    </row>
    <row r="538" spans="4:6">
      <c r="D538" s="22"/>
      <c r="F538" s="11"/>
    </row>
    <row r="539" spans="4:6">
      <c r="D539" s="22"/>
      <c r="F539" s="11"/>
    </row>
    <row r="540" spans="4:6">
      <c r="D540" s="22"/>
      <c r="F540" s="11"/>
    </row>
    <row r="541" spans="4:6">
      <c r="D541" s="22"/>
      <c r="F541" s="11"/>
    </row>
    <row r="542" spans="4:6">
      <c r="D542" s="22"/>
      <c r="F542" s="11"/>
    </row>
    <row r="543" spans="4:6">
      <c r="D543" s="22"/>
      <c r="F543" s="11"/>
    </row>
    <row r="544" spans="4:6">
      <c r="D544" s="22"/>
      <c r="F544" s="11"/>
    </row>
    <row r="545" spans="4:6">
      <c r="D545" s="22"/>
      <c r="F545" s="11"/>
    </row>
    <row r="546" spans="4:6">
      <c r="D546" s="22"/>
      <c r="F546" s="11"/>
    </row>
    <row r="547" spans="4:6">
      <c r="D547" s="22"/>
      <c r="F547" s="11"/>
    </row>
    <row r="548" spans="4:6">
      <c r="D548" s="22"/>
      <c r="F548" s="11"/>
    </row>
    <row r="549" spans="4:6">
      <c r="D549" s="22"/>
      <c r="F549" s="11"/>
    </row>
    <row r="550" spans="4:6">
      <c r="D550" s="22"/>
      <c r="F550" s="11"/>
    </row>
    <row r="551" spans="4:6">
      <c r="D551" s="22"/>
      <c r="F551" s="11"/>
    </row>
    <row r="552" spans="4:6">
      <c r="D552" s="22"/>
      <c r="F552" s="11"/>
    </row>
    <row r="553" spans="4:6">
      <c r="D553" s="22"/>
      <c r="F553" s="11"/>
    </row>
    <row r="554" spans="4:6">
      <c r="D554" s="22"/>
      <c r="F554" s="11"/>
    </row>
    <row r="555" spans="4:6">
      <c r="D555" s="22"/>
      <c r="F555" s="11"/>
    </row>
    <row r="556" spans="4:6">
      <c r="D556" s="22"/>
      <c r="F556" s="11"/>
    </row>
    <row r="557" spans="4:6">
      <c r="D557" s="22"/>
      <c r="F557" s="11"/>
    </row>
    <row r="558" spans="4:6">
      <c r="D558" s="22"/>
      <c r="F558" s="11"/>
    </row>
    <row r="559" spans="4:6">
      <c r="D559" s="22"/>
      <c r="F559" s="11"/>
    </row>
    <row r="560" spans="4:6">
      <c r="D560" s="22"/>
      <c r="F560" s="11"/>
    </row>
    <row r="561" spans="4:6">
      <c r="D561" s="22"/>
      <c r="F561" s="11"/>
    </row>
    <row r="562" spans="4:6">
      <c r="D562" s="22"/>
      <c r="F562" s="11"/>
    </row>
    <row r="563" spans="4:6">
      <c r="D563" s="22"/>
      <c r="F563" s="11"/>
    </row>
    <row r="564" spans="4:6">
      <c r="D564" s="22"/>
      <c r="F564" s="11"/>
    </row>
    <row r="565" spans="4:6">
      <c r="D565" s="22"/>
      <c r="F565" s="11"/>
    </row>
    <row r="566" spans="4:6">
      <c r="D566" s="22"/>
      <c r="F566" s="11"/>
    </row>
    <row r="567" spans="4:6">
      <c r="D567" s="22"/>
      <c r="F567" s="11"/>
    </row>
    <row r="568" spans="4:6">
      <c r="D568" s="22"/>
      <c r="F568" s="11"/>
    </row>
    <row r="569" spans="4:6">
      <c r="D569" s="22"/>
      <c r="F569" s="11"/>
    </row>
    <row r="570" spans="4:6">
      <c r="D570" s="22"/>
      <c r="F570" s="11"/>
    </row>
    <row r="571" spans="4:6">
      <c r="D571" s="22"/>
      <c r="F571" s="11"/>
    </row>
    <row r="572" spans="4:6">
      <c r="D572" s="22"/>
      <c r="F572" s="11"/>
    </row>
    <row r="573" spans="4:6">
      <c r="D573" s="22"/>
      <c r="F573" s="11"/>
    </row>
    <row r="574" spans="4:6">
      <c r="D574" s="22"/>
      <c r="F574" s="11"/>
    </row>
    <row r="575" spans="4:6">
      <c r="D575" s="22"/>
      <c r="F575" s="11"/>
    </row>
    <row r="576" spans="4:6">
      <c r="D576" s="22"/>
      <c r="F576" s="11"/>
    </row>
    <row r="577" spans="4:6">
      <c r="D577" s="22"/>
      <c r="F577" s="11"/>
    </row>
    <row r="578" spans="4:6">
      <c r="D578" s="22"/>
      <c r="F578" s="11"/>
    </row>
    <row r="579" spans="4:6">
      <c r="D579" s="22"/>
      <c r="F579" s="11"/>
    </row>
    <row r="580" spans="4:6">
      <c r="D580" s="22"/>
      <c r="F580" s="11"/>
    </row>
    <row r="581" spans="4:6">
      <c r="D581" s="22"/>
      <c r="F581" s="11"/>
    </row>
    <row r="582" spans="4:6">
      <c r="D582" s="22"/>
      <c r="F582" s="11"/>
    </row>
    <row r="583" spans="4:6">
      <c r="D583" s="22"/>
      <c r="F583" s="11"/>
    </row>
    <row r="584" spans="4:6">
      <c r="D584" s="22"/>
      <c r="F584" s="11"/>
    </row>
    <row r="585" spans="4:6">
      <c r="D585" s="22"/>
      <c r="F585" s="11"/>
    </row>
    <row r="586" spans="4:6">
      <c r="D586" s="22"/>
      <c r="F586" s="11"/>
    </row>
    <row r="587" spans="4:6">
      <c r="D587" s="22"/>
      <c r="F587" s="11"/>
    </row>
    <row r="588" spans="4:6">
      <c r="D588" s="22"/>
      <c r="F588" s="11"/>
    </row>
    <row r="589" spans="4:6">
      <c r="D589" s="22"/>
      <c r="F589" s="11"/>
    </row>
    <row r="590" spans="4:6">
      <c r="D590" s="22"/>
      <c r="F590" s="11"/>
    </row>
    <row r="591" spans="4:6">
      <c r="D591" s="22"/>
      <c r="F591" s="11"/>
    </row>
    <row r="592" spans="4:6">
      <c r="D592" s="22"/>
      <c r="F592" s="11"/>
    </row>
    <row r="593" spans="4:6">
      <c r="D593" s="22"/>
      <c r="F593" s="11"/>
    </row>
    <row r="594" spans="4:6">
      <c r="D594" s="22"/>
      <c r="F594" s="11"/>
    </row>
    <row r="595" spans="4:6">
      <c r="D595" s="22"/>
      <c r="F595" s="11"/>
    </row>
    <row r="596" spans="4:6">
      <c r="D596" s="22"/>
      <c r="F596" s="11"/>
    </row>
    <row r="597" spans="4:6">
      <c r="D597" s="22"/>
      <c r="F597" s="11"/>
    </row>
    <row r="598" spans="4:6">
      <c r="D598" s="22"/>
      <c r="F598" s="11"/>
    </row>
    <row r="599" spans="4:6">
      <c r="D599" s="22"/>
      <c r="F599" s="11"/>
    </row>
    <row r="600" spans="4:6">
      <c r="D600" s="22"/>
      <c r="F600" s="11"/>
    </row>
    <row r="601" spans="4:6">
      <c r="D601" s="22"/>
      <c r="F601" s="11"/>
    </row>
    <row r="602" spans="4:6">
      <c r="D602" s="22"/>
      <c r="F602" s="11"/>
    </row>
    <row r="603" spans="4:6">
      <c r="D603" s="22"/>
      <c r="F603" s="11"/>
    </row>
    <row r="604" spans="4:6">
      <c r="D604" s="22"/>
      <c r="F604" s="11"/>
    </row>
    <row r="605" spans="4:6">
      <c r="D605" s="22"/>
      <c r="F605" s="11"/>
    </row>
    <row r="606" spans="4:6">
      <c r="D606" s="22"/>
      <c r="F606" s="11"/>
    </row>
    <row r="607" spans="4:6">
      <c r="D607" s="22"/>
      <c r="F607" s="11"/>
    </row>
    <row r="608" spans="4:6">
      <c r="D608" s="22"/>
      <c r="F608" s="11"/>
    </row>
    <row r="609" spans="4:6">
      <c r="D609" s="22"/>
      <c r="F609" s="11"/>
    </row>
    <row r="610" spans="4:6">
      <c r="D610" s="22"/>
      <c r="F610" s="11"/>
    </row>
    <row r="611" spans="4:6">
      <c r="D611" s="22"/>
      <c r="F611" s="11"/>
    </row>
    <row r="612" spans="4:6">
      <c r="D612" s="22"/>
      <c r="F612" s="11"/>
    </row>
    <row r="613" spans="4:6">
      <c r="D613" s="22"/>
      <c r="F613" s="11"/>
    </row>
    <row r="614" spans="4:6">
      <c r="D614" s="22"/>
      <c r="F614" s="11"/>
    </row>
    <row r="615" spans="4:6">
      <c r="D615" s="22"/>
      <c r="F615" s="11"/>
    </row>
    <row r="616" spans="4:6">
      <c r="D616" s="22"/>
      <c r="F616" s="11"/>
    </row>
    <row r="617" spans="4:6">
      <c r="D617" s="22"/>
      <c r="F617" s="11"/>
    </row>
    <row r="618" spans="4:6">
      <c r="D618" s="22"/>
      <c r="F618" s="11"/>
    </row>
    <row r="619" spans="4:6">
      <c r="D619" s="22"/>
      <c r="F619" s="11"/>
    </row>
    <row r="620" spans="4:6">
      <c r="D620" s="22"/>
      <c r="F620" s="11"/>
    </row>
    <row r="621" spans="4:6">
      <c r="D621" s="22"/>
      <c r="F621" s="11"/>
    </row>
    <row r="622" spans="4:6">
      <c r="D622" s="22"/>
      <c r="F622" s="11"/>
    </row>
    <row r="623" spans="4:6">
      <c r="D623" s="22"/>
      <c r="F623" s="11"/>
    </row>
    <row r="624" spans="4:6">
      <c r="D624" s="22"/>
      <c r="F624" s="11"/>
    </row>
    <row r="625" spans="4:6">
      <c r="D625" s="22"/>
      <c r="F625" s="11"/>
    </row>
    <row r="626" spans="4:6">
      <c r="D626" s="22"/>
      <c r="F626" s="11"/>
    </row>
    <row r="627" spans="4:6">
      <c r="D627" s="22"/>
      <c r="F627" s="11"/>
    </row>
    <row r="628" spans="4:6">
      <c r="D628" s="22"/>
      <c r="F628" s="11"/>
    </row>
    <row r="629" spans="4:6">
      <c r="D629" s="22"/>
      <c r="F629" s="11"/>
    </row>
    <row r="630" spans="4:6">
      <c r="D630" s="22"/>
      <c r="F630" s="11"/>
    </row>
    <row r="631" spans="4:6">
      <c r="D631" s="22"/>
      <c r="F631" s="11"/>
    </row>
    <row r="632" spans="4:6">
      <c r="D632" s="22"/>
      <c r="F632" s="11"/>
    </row>
    <row r="633" spans="4:6">
      <c r="D633" s="22"/>
      <c r="F633" s="11"/>
    </row>
    <row r="634" spans="4:6">
      <c r="D634" s="22"/>
      <c r="F634" s="11"/>
    </row>
    <row r="635" spans="4:6">
      <c r="D635" s="22"/>
      <c r="F635" s="11"/>
    </row>
    <row r="636" spans="4:6">
      <c r="D636" s="22"/>
      <c r="F636" s="11"/>
    </row>
    <row r="637" spans="4:6">
      <c r="D637" s="22"/>
      <c r="F637" s="11"/>
    </row>
    <row r="638" spans="4:6">
      <c r="D638" s="22"/>
      <c r="F638" s="11"/>
    </row>
    <row r="639" spans="4:6">
      <c r="D639" s="22"/>
      <c r="F639" s="11"/>
    </row>
    <row r="640" spans="4:6">
      <c r="D640" s="22"/>
      <c r="F640" s="11"/>
    </row>
    <row r="641" spans="4:6">
      <c r="D641" s="22"/>
      <c r="F641" s="11"/>
    </row>
    <row r="642" spans="4:6">
      <c r="D642" s="22"/>
      <c r="F642" s="11"/>
    </row>
    <row r="643" spans="4:6">
      <c r="D643" s="22"/>
      <c r="F643" s="11"/>
    </row>
    <row r="644" spans="4:6">
      <c r="D644" s="22"/>
      <c r="F644" s="11"/>
    </row>
    <row r="645" spans="4:6">
      <c r="D645" s="22"/>
      <c r="F645" s="11"/>
    </row>
    <row r="646" spans="4:6">
      <c r="D646" s="22"/>
      <c r="F646" s="11"/>
    </row>
    <row r="647" spans="4:6">
      <c r="D647" s="22"/>
      <c r="F647" s="11"/>
    </row>
    <row r="648" spans="4:6">
      <c r="D648" s="22"/>
      <c r="F648" s="11"/>
    </row>
    <row r="649" spans="4:6">
      <c r="D649" s="22"/>
      <c r="F649" s="11"/>
    </row>
    <row r="650" spans="4:6">
      <c r="D650" s="22"/>
      <c r="F650" s="11"/>
    </row>
    <row r="651" spans="4:6">
      <c r="D651" s="22"/>
      <c r="F651" s="11"/>
    </row>
    <row r="652" spans="4:6">
      <c r="D652" s="22"/>
      <c r="F652" s="11"/>
    </row>
    <row r="653" spans="4:6">
      <c r="D653" s="22"/>
      <c r="F653" s="11"/>
    </row>
    <row r="654" spans="4:6">
      <c r="D654" s="22"/>
      <c r="F654" s="11"/>
    </row>
    <row r="655" spans="4:6">
      <c r="D655" s="22"/>
      <c r="F655" s="11"/>
    </row>
    <row r="656" spans="4:6">
      <c r="D656" s="22"/>
      <c r="F656" s="11"/>
    </row>
    <row r="657" spans="4:6">
      <c r="D657" s="22"/>
      <c r="F657" s="11"/>
    </row>
    <row r="658" spans="4:6">
      <c r="D658" s="22"/>
      <c r="F658" s="11"/>
    </row>
    <row r="659" spans="4:6">
      <c r="D659" s="22"/>
      <c r="F659" s="11"/>
    </row>
    <row r="660" spans="4:6">
      <c r="D660" s="22"/>
      <c r="F660" s="11"/>
    </row>
    <row r="661" spans="4:6">
      <c r="D661" s="22"/>
      <c r="F661" s="11"/>
    </row>
    <row r="662" spans="4:6">
      <c r="D662" s="22"/>
      <c r="F662" s="11"/>
    </row>
    <row r="663" spans="4:6">
      <c r="D663" s="22"/>
      <c r="F663" s="11"/>
    </row>
    <row r="664" spans="4:6">
      <c r="D664" s="22"/>
      <c r="F664" s="11"/>
    </row>
    <row r="665" spans="4:6">
      <c r="D665" s="22"/>
      <c r="F665" s="11"/>
    </row>
    <row r="666" spans="4:6">
      <c r="D666" s="22"/>
      <c r="F666" s="11"/>
    </row>
    <row r="667" spans="4:6">
      <c r="D667" s="22"/>
      <c r="F667" s="11"/>
    </row>
    <row r="668" spans="4:6">
      <c r="D668" s="22"/>
      <c r="F668" s="11"/>
    </row>
    <row r="669" spans="4:6">
      <c r="D669" s="22"/>
      <c r="F669" s="11"/>
    </row>
    <row r="670" spans="4:6">
      <c r="D670" s="22"/>
      <c r="F670" s="11"/>
    </row>
    <row r="671" spans="4:6">
      <c r="D671" s="22"/>
      <c r="F671" s="11"/>
    </row>
    <row r="672" spans="4:6">
      <c r="D672" s="22"/>
      <c r="F672" s="11"/>
    </row>
    <row r="673" spans="4:6">
      <c r="D673" s="22"/>
      <c r="F673" s="11"/>
    </row>
    <row r="674" spans="4:6">
      <c r="D674" s="22"/>
      <c r="F674" s="11"/>
    </row>
    <row r="675" spans="4:6">
      <c r="D675" s="22"/>
      <c r="F675" s="11"/>
    </row>
    <row r="676" spans="4:6">
      <c r="D676" s="22"/>
      <c r="F676" s="11"/>
    </row>
    <row r="677" spans="4:6">
      <c r="D677" s="22"/>
      <c r="F677" s="11"/>
    </row>
    <row r="678" spans="4:6">
      <c r="D678" s="22"/>
      <c r="F678" s="11"/>
    </row>
    <row r="679" spans="4:6">
      <c r="D679" s="22"/>
      <c r="F679" s="11"/>
    </row>
    <row r="680" spans="4:6">
      <c r="D680" s="22"/>
      <c r="F680" s="11"/>
    </row>
    <row r="681" spans="4:6">
      <c r="D681" s="22"/>
      <c r="F681" s="11"/>
    </row>
    <row r="682" spans="4:6">
      <c r="D682" s="22"/>
      <c r="F682" s="11"/>
    </row>
    <row r="683" spans="4:6">
      <c r="D683" s="22"/>
      <c r="F683" s="11"/>
    </row>
    <row r="684" spans="4:6">
      <c r="D684" s="22"/>
      <c r="F684" s="11"/>
    </row>
    <row r="685" spans="4:6">
      <c r="D685" s="22"/>
      <c r="F685" s="11"/>
    </row>
    <row r="686" spans="4:6">
      <c r="D686" s="22"/>
      <c r="F686" s="11"/>
    </row>
    <row r="687" spans="4:6">
      <c r="D687" s="22"/>
      <c r="F687" s="11"/>
    </row>
    <row r="688" spans="4:6">
      <c r="D688" s="22"/>
      <c r="F688" s="11"/>
    </row>
    <row r="689" spans="4:6">
      <c r="D689" s="22"/>
      <c r="F689" s="11"/>
    </row>
    <row r="690" spans="4:6">
      <c r="D690" s="22"/>
      <c r="F690" s="11"/>
    </row>
    <row r="691" spans="4:6">
      <c r="D691" s="22"/>
      <c r="F691" s="11"/>
    </row>
    <row r="692" spans="4:6">
      <c r="D692" s="22"/>
      <c r="F692" s="11"/>
    </row>
    <row r="693" spans="4:6">
      <c r="D693" s="22"/>
      <c r="F693" s="11"/>
    </row>
    <row r="694" spans="4:6">
      <c r="D694" s="22"/>
      <c r="F694" s="11"/>
    </row>
    <row r="695" spans="4:6">
      <c r="D695" s="22"/>
      <c r="F695" s="11"/>
    </row>
    <row r="696" spans="4:6">
      <c r="D696" s="22"/>
      <c r="F696" s="11"/>
    </row>
    <row r="697" spans="4:6">
      <c r="D697" s="22"/>
      <c r="F697" s="11"/>
    </row>
    <row r="698" spans="4:6">
      <c r="D698" s="22"/>
      <c r="F698" s="11"/>
    </row>
    <row r="699" spans="4:6">
      <c r="D699" s="22"/>
      <c r="F699" s="11"/>
    </row>
    <row r="700" spans="4:6">
      <c r="D700" s="22"/>
      <c r="F700" s="11"/>
    </row>
    <row r="701" spans="4:6">
      <c r="D701" s="22"/>
      <c r="F701" s="11"/>
    </row>
    <row r="702" spans="4:6">
      <c r="D702" s="22"/>
      <c r="F702" s="11"/>
    </row>
    <row r="703" spans="4:6">
      <c r="D703" s="22"/>
      <c r="F703" s="11"/>
    </row>
    <row r="704" spans="4:6">
      <c r="D704" s="22"/>
      <c r="F704" s="11"/>
    </row>
    <row r="705" spans="4:6">
      <c r="D705" s="22"/>
      <c r="F705" s="11"/>
    </row>
    <row r="706" spans="4:6">
      <c r="D706" s="22"/>
      <c r="F706" s="11"/>
    </row>
    <row r="707" spans="4:6">
      <c r="D707" s="22"/>
      <c r="F707" s="11"/>
    </row>
    <row r="708" spans="4:6">
      <c r="D708" s="22"/>
      <c r="F708" s="11"/>
    </row>
    <row r="709" spans="4:6">
      <c r="D709" s="22"/>
      <c r="F709" s="11"/>
    </row>
    <row r="710" spans="4:6">
      <c r="D710" s="22"/>
      <c r="F710" s="11"/>
    </row>
    <row r="711" spans="4:6">
      <c r="D711" s="22"/>
      <c r="F711" s="11"/>
    </row>
    <row r="712" spans="4:6">
      <c r="D712" s="22"/>
      <c r="F712" s="11"/>
    </row>
    <row r="713" spans="4:6">
      <c r="D713" s="22"/>
      <c r="F713" s="11"/>
    </row>
    <row r="714" spans="4:6">
      <c r="D714" s="22"/>
      <c r="F714" s="11"/>
    </row>
    <row r="715" spans="4:6">
      <c r="D715" s="22"/>
      <c r="F715" s="11"/>
    </row>
    <row r="716" spans="4:6">
      <c r="D716" s="22"/>
      <c r="F716" s="11"/>
    </row>
    <row r="717" spans="4:6">
      <c r="D717" s="22"/>
      <c r="F717" s="11"/>
    </row>
    <row r="718" spans="4:6">
      <c r="D718" s="22"/>
      <c r="F718" s="11"/>
    </row>
    <row r="719" spans="4:6">
      <c r="D719" s="22"/>
      <c r="F719" s="11"/>
    </row>
    <row r="720" spans="4:6">
      <c r="D720" s="22"/>
      <c r="F720" s="11"/>
    </row>
    <row r="721" spans="4:6">
      <c r="D721" s="22"/>
      <c r="F721" s="11"/>
    </row>
    <row r="722" spans="4:6">
      <c r="D722" s="22"/>
      <c r="F722" s="11"/>
    </row>
    <row r="723" spans="4:6">
      <c r="D723" s="22"/>
      <c r="F723" s="11"/>
    </row>
    <row r="724" spans="4:6">
      <c r="D724" s="22"/>
      <c r="F724" s="11"/>
    </row>
    <row r="725" spans="4:6">
      <c r="D725" s="22"/>
      <c r="F725" s="11"/>
    </row>
    <row r="726" spans="4:6">
      <c r="D726" s="22"/>
      <c r="F726" s="11"/>
    </row>
    <row r="727" spans="4:6">
      <c r="D727" s="22"/>
      <c r="F727" s="11"/>
    </row>
    <row r="728" spans="4:6">
      <c r="D728" s="22"/>
      <c r="F728" s="11"/>
    </row>
    <row r="729" spans="4:6">
      <c r="D729" s="22"/>
      <c r="F729" s="11"/>
    </row>
    <row r="730" spans="4:6">
      <c r="D730" s="22"/>
      <c r="F730" s="11"/>
    </row>
    <row r="731" spans="4:6">
      <c r="D731" s="22"/>
      <c r="F731" s="11"/>
    </row>
    <row r="732" spans="4:6">
      <c r="D732" s="22"/>
      <c r="F732" s="11"/>
    </row>
    <row r="733" spans="4:6">
      <c r="D733" s="22"/>
      <c r="F733" s="11"/>
    </row>
    <row r="734" spans="4:6">
      <c r="D734" s="22"/>
      <c r="F734" s="11"/>
    </row>
    <row r="735" spans="4:6">
      <c r="D735" s="22"/>
      <c r="F735" s="11"/>
    </row>
    <row r="736" spans="4:6">
      <c r="D736" s="22"/>
      <c r="F736" s="11"/>
    </row>
    <row r="737" spans="4:6">
      <c r="D737" s="22"/>
      <c r="F737" s="11"/>
    </row>
    <row r="738" spans="4:6">
      <c r="D738" s="22"/>
      <c r="F738" s="11"/>
    </row>
    <row r="739" spans="4:6">
      <c r="D739" s="22"/>
      <c r="F739" s="11"/>
    </row>
    <row r="740" spans="4:6">
      <c r="D740" s="22"/>
      <c r="F740" s="11"/>
    </row>
    <row r="741" spans="4:6">
      <c r="D741" s="22"/>
      <c r="F741" s="11"/>
    </row>
    <row r="742" spans="4:6">
      <c r="D742" s="22"/>
      <c r="F742" s="11"/>
    </row>
    <row r="743" spans="4:6">
      <c r="D743" s="22"/>
      <c r="F743" s="11"/>
    </row>
    <row r="744" spans="4:6">
      <c r="D744" s="22"/>
      <c r="F744" s="11"/>
    </row>
    <row r="745" spans="4:6">
      <c r="D745" s="22"/>
      <c r="F745" s="11"/>
    </row>
    <row r="746" spans="4:6">
      <c r="D746" s="22"/>
      <c r="F746" s="11"/>
    </row>
    <row r="747" spans="4:6">
      <c r="D747" s="22"/>
      <c r="F747" s="11"/>
    </row>
    <row r="748" spans="4:6">
      <c r="D748" s="22"/>
      <c r="F748" s="11"/>
    </row>
    <row r="749" spans="4:6">
      <c r="D749" s="22"/>
      <c r="F749" s="11"/>
    </row>
    <row r="750" spans="4:6">
      <c r="D750" s="22"/>
      <c r="F750" s="11"/>
    </row>
    <row r="751" spans="4:6">
      <c r="D751" s="22"/>
      <c r="F751" s="11"/>
    </row>
    <row r="752" spans="4:6">
      <c r="D752" s="22"/>
      <c r="F752" s="11"/>
    </row>
    <row r="753" spans="4:6">
      <c r="D753" s="22"/>
      <c r="F753" s="11"/>
    </row>
    <row r="754" spans="4:6">
      <c r="D754" s="22"/>
      <c r="F754" s="11"/>
    </row>
    <row r="755" spans="4:6">
      <c r="D755" s="22"/>
      <c r="F755" s="11"/>
    </row>
    <row r="756" spans="4:6">
      <c r="D756" s="22"/>
      <c r="F756" s="11"/>
    </row>
    <row r="757" spans="4:6">
      <c r="D757" s="22"/>
      <c r="F757" s="11"/>
    </row>
    <row r="758" spans="4:6">
      <c r="D758" s="22"/>
      <c r="F758" s="11"/>
    </row>
    <row r="759" spans="4:6">
      <c r="D759" s="22"/>
      <c r="F759" s="11"/>
    </row>
    <row r="760" spans="4:6">
      <c r="D760" s="22"/>
      <c r="F760" s="11"/>
    </row>
    <row r="761" spans="4:6">
      <c r="D761" s="22"/>
      <c r="F761" s="11"/>
    </row>
    <row r="762" spans="4:6">
      <c r="D762" s="22"/>
      <c r="F762" s="11"/>
    </row>
    <row r="763" spans="4:6">
      <c r="D763" s="22"/>
      <c r="F763" s="11"/>
    </row>
    <row r="764" spans="4:6">
      <c r="D764" s="22"/>
      <c r="F764" s="11"/>
    </row>
    <row r="765" spans="4:6">
      <c r="D765" s="22"/>
      <c r="F765" s="11"/>
    </row>
    <row r="766" spans="4:6">
      <c r="D766" s="22"/>
      <c r="F766" s="11"/>
    </row>
    <row r="767" spans="4:6">
      <c r="D767" s="22"/>
      <c r="F767" s="11"/>
    </row>
    <row r="768" spans="4:6">
      <c r="D768" s="22"/>
      <c r="F768" s="11"/>
    </row>
    <row r="769" spans="4:6">
      <c r="D769" s="22"/>
      <c r="F769" s="11"/>
    </row>
    <row r="770" spans="4:6">
      <c r="D770" s="22"/>
      <c r="F770" s="11"/>
    </row>
    <row r="771" spans="4:6">
      <c r="D771" s="22"/>
      <c r="F771" s="11"/>
    </row>
    <row r="772" spans="4:6">
      <c r="D772" s="22"/>
      <c r="F772" s="11"/>
    </row>
    <row r="773" spans="4:6">
      <c r="D773" s="22"/>
      <c r="F773" s="11"/>
    </row>
    <row r="774" spans="4:6">
      <c r="D774" s="22"/>
      <c r="F774" s="11"/>
    </row>
    <row r="775" spans="4:6">
      <c r="D775" s="22"/>
      <c r="F775" s="11"/>
    </row>
    <row r="776" spans="4:6">
      <c r="D776" s="22"/>
      <c r="F776" s="11"/>
    </row>
    <row r="777" spans="4:6">
      <c r="D777" s="22"/>
      <c r="F777" s="11"/>
    </row>
    <row r="778" spans="4:6">
      <c r="D778" s="22"/>
      <c r="F778" s="11"/>
    </row>
    <row r="779" spans="4:6">
      <c r="D779" s="22"/>
      <c r="F779" s="11"/>
    </row>
    <row r="780" spans="4:6">
      <c r="D780" s="22"/>
      <c r="F780" s="11"/>
    </row>
    <row r="781" spans="4:6">
      <c r="D781" s="22"/>
      <c r="F781" s="11"/>
    </row>
    <row r="782" spans="4:6">
      <c r="D782" s="22"/>
      <c r="F782" s="11"/>
    </row>
    <row r="783" spans="4:6">
      <c r="D783" s="22"/>
      <c r="F783" s="11"/>
    </row>
    <row r="784" spans="4:6">
      <c r="D784" s="22"/>
      <c r="F784" s="11"/>
    </row>
    <row r="785" spans="4:6">
      <c r="D785" s="22"/>
      <c r="F785" s="11"/>
    </row>
    <row r="786" spans="4:6">
      <c r="D786" s="22"/>
      <c r="F786" s="11"/>
    </row>
    <row r="787" spans="4:6">
      <c r="D787" s="22"/>
      <c r="F787" s="11"/>
    </row>
    <row r="788" spans="4:6">
      <c r="D788" s="22"/>
      <c r="F788" s="11"/>
    </row>
    <row r="789" spans="4:6">
      <c r="D789" s="22"/>
      <c r="F789" s="11"/>
    </row>
    <row r="790" spans="4:6">
      <c r="D790" s="22"/>
      <c r="F790" s="11"/>
    </row>
    <row r="791" spans="4:6">
      <c r="D791" s="22"/>
      <c r="F791" s="11"/>
    </row>
    <row r="792" spans="4:6">
      <c r="D792" s="22"/>
      <c r="F792" s="11"/>
    </row>
    <row r="793" spans="4:6">
      <c r="D793" s="22"/>
      <c r="F793" s="11"/>
    </row>
    <row r="794" spans="4:6">
      <c r="D794" s="22"/>
      <c r="F794" s="11"/>
    </row>
    <row r="795" spans="4:6">
      <c r="D795" s="22"/>
      <c r="F795" s="11"/>
    </row>
    <row r="796" spans="4:6">
      <c r="D796" s="22"/>
      <c r="F796" s="11"/>
    </row>
    <row r="797" spans="4:6">
      <c r="D797" s="22"/>
      <c r="F797" s="11"/>
    </row>
    <row r="798" spans="4:6">
      <c r="D798" s="22"/>
      <c r="F798" s="11"/>
    </row>
    <row r="799" spans="4:6">
      <c r="D799" s="22"/>
      <c r="F799" s="11"/>
    </row>
    <row r="800" spans="4:6">
      <c r="D800" s="22"/>
      <c r="F800" s="11"/>
    </row>
    <row r="801" spans="4:6">
      <c r="D801" s="22"/>
      <c r="F801" s="11"/>
    </row>
    <row r="802" spans="4:6">
      <c r="D802" s="22"/>
      <c r="F802" s="11"/>
    </row>
    <row r="803" spans="4:6">
      <c r="D803" s="22"/>
      <c r="F803" s="11"/>
    </row>
    <row r="804" spans="4:6">
      <c r="D804" s="22"/>
      <c r="F804" s="11"/>
    </row>
    <row r="805" spans="4:6">
      <c r="D805" s="22"/>
      <c r="F805" s="11"/>
    </row>
    <row r="806" spans="4:6">
      <c r="D806" s="22"/>
      <c r="F806" s="11"/>
    </row>
    <row r="807" spans="4:6">
      <c r="D807" s="22"/>
      <c r="F807" s="11"/>
    </row>
    <row r="808" spans="4:6">
      <c r="D808" s="22"/>
      <c r="F808" s="11"/>
    </row>
    <row r="809" spans="4:6">
      <c r="D809" s="22"/>
      <c r="F809" s="11"/>
    </row>
    <row r="810" spans="4:6">
      <c r="D810" s="22"/>
      <c r="F810" s="11"/>
    </row>
    <row r="811" spans="4:6">
      <c r="D811" s="22"/>
      <c r="F811" s="11"/>
    </row>
    <row r="812" spans="4:6">
      <c r="D812" s="22"/>
      <c r="F812" s="11"/>
    </row>
    <row r="813" spans="4:6">
      <c r="D813" s="22"/>
      <c r="F813" s="11"/>
    </row>
    <row r="814" spans="4:6">
      <c r="D814" s="22"/>
      <c r="F814" s="11"/>
    </row>
    <row r="815" spans="4:6">
      <c r="D815" s="22"/>
      <c r="F815" s="11"/>
    </row>
    <row r="816" spans="4:6">
      <c r="D816" s="22"/>
      <c r="F816" s="11"/>
    </row>
    <row r="817" spans="4:6">
      <c r="D817" s="22"/>
      <c r="F817" s="11"/>
    </row>
    <row r="818" spans="4:6">
      <c r="D818" s="22"/>
      <c r="F818" s="11"/>
    </row>
    <row r="819" spans="4:6">
      <c r="D819" s="22"/>
      <c r="F819" s="11"/>
    </row>
    <row r="820" spans="4:6">
      <c r="D820" s="22"/>
      <c r="F820" s="11"/>
    </row>
    <row r="821" spans="4:6">
      <c r="D821" s="22"/>
      <c r="F821" s="11"/>
    </row>
    <row r="822" spans="4:6">
      <c r="D822" s="22"/>
      <c r="F822" s="11"/>
    </row>
    <row r="823" spans="4:6">
      <c r="D823" s="22"/>
      <c r="F823" s="11"/>
    </row>
    <row r="824" spans="4:6">
      <c r="D824" s="22"/>
      <c r="F824" s="11"/>
    </row>
    <row r="825" spans="4:6">
      <c r="D825" s="22"/>
      <c r="F825" s="11"/>
    </row>
    <row r="826" spans="4:6">
      <c r="D826" s="22"/>
      <c r="F826" s="11"/>
    </row>
    <row r="827" spans="4:6">
      <c r="D827" s="22"/>
      <c r="F827" s="11"/>
    </row>
    <row r="828" spans="4:6">
      <c r="D828" s="22"/>
      <c r="F828" s="11"/>
    </row>
    <row r="829" spans="4:6">
      <c r="D829" s="22"/>
      <c r="F829" s="11"/>
    </row>
    <row r="830" spans="4:6">
      <c r="D830" s="22"/>
      <c r="F830" s="11"/>
    </row>
    <row r="831" spans="4:6">
      <c r="D831" s="22"/>
      <c r="F831" s="11"/>
    </row>
    <row r="832" spans="4:6">
      <c r="D832" s="22"/>
      <c r="F832" s="11"/>
    </row>
    <row r="833" spans="4:6">
      <c r="D833" s="22"/>
      <c r="F833" s="11"/>
    </row>
    <row r="834" spans="4:6">
      <c r="D834" s="22"/>
      <c r="F834" s="11"/>
    </row>
    <row r="835" spans="4:6">
      <c r="D835" s="22"/>
      <c r="F835" s="11"/>
    </row>
    <row r="836" spans="4:6">
      <c r="D836" s="22"/>
      <c r="F836" s="11"/>
    </row>
    <row r="837" spans="4:6">
      <c r="D837" s="22"/>
      <c r="F837" s="11"/>
    </row>
    <row r="838" spans="4:6">
      <c r="D838" s="22"/>
      <c r="F838" s="11"/>
    </row>
    <row r="839" spans="4:6">
      <c r="D839" s="22"/>
      <c r="F839" s="11"/>
    </row>
    <row r="840" spans="4:6">
      <c r="D840" s="22"/>
      <c r="F840" s="11"/>
    </row>
    <row r="841" spans="4:6">
      <c r="D841" s="22"/>
      <c r="F841" s="11"/>
    </row>
    <row r="842" spans="4:6">
      <c r="D842" s="22"/>
      <c r="F842" s="11"/>
    </row>
    <row r="843" spans="4:6">
      <c r="D843" s="22"/>
      <c r="F843" s="11"/>
    </row>
    <row r="844" spans="4:6">
      <c r="D844" s="22"/>
      <c r="F844" s="11"/>
    </row>
    <row r="845" spans="4:6">
      <c r="D845" s="22"/>
      <c r="F845" s="11"/>
    </row>
    <row r="846" spans="4:6">
      <c r="D846" s="22"/>
      <c r="F846" s="11"/>
    </row>
    <row r="847" spans="4:6">
      <c r="D847" s="22"/>
      <c r="F847" s="11"/>
    </row>
    <row r="848" spans="4:6">
      <c r="D848" s="22"/>
      <c r="F848" s="11"/>
    </row>
    <row r="849" spans="4:6">
      <c r="D849" s="22"/>
      <c r="F849" s="11"/>
    </row>
    <row r="850" spans="4:6">
      <c r="D850" s="22"/>
      <c r="F850" s="11"/>
    </row>
    <row r="851" spans="4:6">
      <c r="D851" s="22"/>
      <c r="F851" s="11"/>
    </row>
    <row r="852" spans="4:6">
      <c r="D852" s="22"/>
      <c r="F852" s="11"/>
    </row>
    <row r="853" spans="4:6">
      <c r="D853" s="22"/>
      <c r="F853" s="11"/>
    </row>
    <row r="854" spans="4:6">
      <c r="D854" s="22"/>
      <c r="F854" s="11"/>
    </row>
    <row r="855" spans="4:6">
      <c r="D855" s="22"/>
      <c r="F855" s="11"/>
    </row>
    <row r="856" spans="4:6">
      <c r="D856" s="22"/>
      <c r="F856" s="11"/>
    </row>
    <row r="857" spans="4:6">
      <c r="D857" s="22"/>
      <c r="F857" s="11"/>
    </row>
    <row r="858" spans="4:6">
      <c r="D858" s="22"/>
      <c r="F858" s="11"/>
    </row>
    <row r="859" spans="4:6">
      <c r="D859" s="22"/>
      <c r="F859" s="11"/>
    </row>
    <row r="860" spans="4:6">
      <c r="D860" s="22"/>
      <c r="F860" s="11"/>
    </row>
    <row r="861" spans="4:6">
      <c r="D861" s="22"/>
      <c r="F861" s="11"/>
    </row>
    <row r="862" spans="4:6">
      <c r="D862" s="22"/>
      <c r="F862" s="11"/>
    </row>
    <row r="863" spans="4:6">
      <c r="D863" s="22"/>
      <c r="F863" s="11"/>
    </row>
    <row r="864" spans="4:6">
      <c r="D864" s="22"/>
      <c r="F864" s="11"/>
    </row>
    <row r="865" spans="4:6">
      <c r="D865" s="22"/>
      <c r="F865" s="11"/>
    </row>
    <row r="866" spans="4:6">
      <c r="D866" s="22"/>
      <c r="F866" s="11"/>
    </row>
    <row r="867" spans="4:6">
      <c r="D867" s="22"/>
      <c r="F867" s="11"/>
    </row>
    <row r="868" spans="4:6">
      <c r="D868" s="22"/>
      <c r="F868" s="11"/>
    </row>
    <row r="869" spans="4:6">
      <c r="D869" s="22"/>
      <c r="F869" s="11"/>
    </row>
    <row r="870" spans="4:6">
      <c r="D870" s="22"/>
      <c r="F870" s="11"/>
    </row>
    <row r="871" spans="4:6">
      <c r="D871" s="22"/>
      <c r="F871" s="11"/>
    </row>
    <row r="872" spans="4:6">
      <c r="D872" s="22"/>
      <c r="F872" s="11"/>
    </row>
    <row r="873" spans="4:6">
      <c r="D873" s="22"/>
      <c r="F873" s="11"/>
    </row>
    <row r="874" spans="4:6">
      <c r="D874" s="22"/>
      <c r="F874" s="11"/>
    </row>
    <row r="875" spans="4:6">
      <c r="D875" s="22"/>
      <c r="F875" s="11"/>
    </row>
    <row r="876" spans="4:6">
      <c r="D876" s="22"/>
      <c r="F876" s="11"/>
    </row>
    <row r="877" spans="4:6">
      <c r="D877" s="22"/>
      <c r="F877" s="11"/>
    </row>
    <row r="878" spans="4:6">
      <c r="D878" s="22"/>
      <c r="F878" s="11"/>
    </row>
    <row r="879" spans="4:6">
      <c r="D879" s="22"/>
      <c r="F879" s="11"/>
    </row>
    <row r="880" spans="4:6">
      <c r="D880" s="22"/>
      <c r="F880" s="11"/>
    </row>
    <row r="881" spans="4:6">
      <c r="D881" s="22"/>
      <c r="F881" s="11"/>
    </row>
    <row r="882" spans="4:6">
      <c r="D882" s="22"/>
      <c r="F882" s="11"/>
    </row>
    <row r="883" spans="4:6">
      <c r="D883" s="22"/>
      <c r="F883" s="11"/>
    </row>
    <row r="884" spans="4:6">
      <c r="D884" s="22"/>
      <c r="F884" s="11"/>
    </row>
    <row r="885" spans="4:6">
      <c r="D885" s="22"/>
      <c r="F885" s="11"/>
    </row>
    <row r="886" spans="4:6">
      <c r="D886" s="22"/>
      <c r="F886" s="11"/>
    </row>
    <row r="887" spans="4:6">
      <c r="D887" s="22"/>
      <c r="F887" s="11"/>
    </row>
    <row r="888" spans="4:6">
      <c r="D888" s="22"/>
      <c r="F888" s="11"/>
    </row>
    <row r="889" spans="4:6">
      <c r="D889" s="22"/>
      <c r="F889" s="11"/>
    </row>
    <row r="890" spans="4:6">
      <c r="D890" s="22"/>
      <c r="F890" s="11"/>
    </row>
    <row r="891" spans="4:6">
      <c r="D891" s="22"/>
      <c r="F891" s="11"/>
    </row>
    <row r="892" spans="4:6">
      <c r="D892" s="22"/>
      <c r="F892" s="11"/>
    </row>
    <row r="893" spans="4:6">
      <c r="D893" s="22"/>
      <c r="F893" s="11"/>
    </row>
    <row r="894" spans="4:6">
      <c r="D894" s="22"/>
      <c r="F894" s="11"/>
    </row>
    <row r="895" spans="4:6">
      <c r="D895" s="22"/>
      <c r="F895" s="11"/>
    </row>
    <row r="896" spans="4:6">
      <c r="D896" s="22"/>
      <c r="F896" s="11"/>
    </row>
    <row r="897" spans="4:6">
      <c r="D897" s="22"/>
      <c r="F897" s="11"/>
    </row>
    <row r="898" spans="4:6">
      <c r="D898" s="22"/>
      <c r="F898" s="11"/>
    </row>
    <row r="899" spans="4:6">
      <c r="D899" s="22"/>
      <c r="F899" s="11"/>
    </row>
    <row r="900" spans="4:6">
      <c r="D900" s="22"/>
      <c r="F900" s="11"/>
    </row>
    <row r="901" spans="4:6">
      <c r="D901" s="22"/>
      <c r="F901" s="11"/>
    </row>
    <row r="902" spans="4:6">
      <c r="D902" s="22"/>
      <c r="F902" s="11"/>
    </row>
    <row r="903" spans="4:6">
      <c r="D903" s="22"/>
      <c r="F903" s="11"/>
    </row>
    <row r="904" spans="4:6">
      <c r="D904" s="22"/>
      <c r="F904" s="11"/>
    </row>
    <row r="905" spans="4:6">
      <c r="D905" s="22"/>
      <c r="F905" s="11"/>
    </row>
    <row r="906" spans="4:6">
      <c r="D906" s="22"/>
      <c r="F906" s="11"/>
    </row>
    <row r="907" spans="4:6">
      <c r="D907" s="22"/>
      <c r="F907" s="11"/>
    </row>
    <row r="908" spans="4:6">
      <c r="D908" s="22"/>
      <c r="F908" s="11"/>
    </row>
    <row r="909" spans="4:6">
      <c r="D909" s="22"/>
      <c r="F909" s="11"/>
    </row>
    <row r="910" spans="4:6">
      <c r="D910" s="22"/>
      <c r="F910" s="11"/>
    </row>
    <row r="911" spans="4:6">
      <c r="D911" s="22"/>
      <c r="F911" s="11"/>
    </row>
    <row r="912" spans="4:6">
      <c r="D912" s="22"/>
      <c r="F912" s="11"/>
    </row>
    <row r="913" spans="4:6">
      <c r="D913" s="22"/>
      <c r="F913" s="11"/>
    </row>
    <row r="914" spans="4:6">
      <c r="D914" s="22"/>
      <c r="F914" s="11"/>
    </row>
    <row r="915" spans="4:6">
      <c r="D915" s="22"/>
      <c r="F915" s="11"/>
    </row>
    <row r="916" spans="4:6">
      <c r="D916" s="22"/>
      <c r="F916" s="11"/>
    </row>
    <row r="917" spans="4:6">
      <c r="D917" s="22"/>
      <c r="F917" s="11"/>
    </row>
    <row r="918" spans="4:6">
      <c r="D918" s="22"/>
      <c r="F918" s="11"/>
    </row>
    <row r="919" spans="4:6">
      <c r="D919" s="22"/>
      <c r="F919" s="11"/>
    </row>
    <row r="920" spans="4:6">
      <c r="D920" s="22"/>
      <c r="F920" s="11"/>
    </row>
    <row r="921" spans="4:6">
      <c r="D921" s="22"/>
      <c r="F921" s="11"/>
    </row>
    <row r="922" spans="4:6">
      <c r="D922" s="22"/>
      <c r="F922" s="11"/>
    </row>
    <row r="923" spans="4:6">
      <c r="D923" s="22"/>
      <c r="F923" s="11"/>
    </row>
    <row r="924" spans="4:6">
      <c r="D924" s="22"/>
      <c r="F924" s="11"/>
    </row>
    <row r="925" spans="4:6">
      <c r="D925" s="22"/>
      <c r="F925" s="11"/>
    </row>
    <row r="926" spans="4:6">
      <c r="D926" s="22"/>
      <c r="F926" s="11"/>
    </row>
    <row r="927" spans="4:6">
      <c r="D927" s="22"/>
      <c r="F927" s="11"/>
    </row>
    <row r="928" spans="4:6">
      <c r="D928" s="22"/>
      <c r="F928" s="11"/>
    </row>
    <row r="929" spans="4:6">
      <c r="D929" s="22"/>
      <c r="F929" s="11"/>
    </row>
    <row r="930" spans="4:6">
      <c r="D930" s="22"/>
      <c r="F930" s="11"/>
    </row>
    <row r="931" spans="4:6">
      <c r="D931" s="22"/>
      <c r="F931" s="11"/>
    </row>
    <row r="932" spans="4:6">
      <c r="D932" s="22"/>
      <c r="F932" s="11"/>
    </row>
    <row r="933" spans="4:6">
      <c r="D933" s="22"/>
      <c r="F933" s="11"/>
    </row>
    <row r="934" spans="4:6">
      <c r="D934" s="22"/>
      <c r="F934" s="11"/>
    </row>
    <row r="935" spans="4:6">
      <c r="D935" s="22"/>
      <c r="F935" s="11"/>
    </row>
    <row r="936" spans="4:6">
      <c r="D936" s="22"/>
      <c r="F936" s="11"/>
    </row>
    <row r="937" spans="4:6">
      <c r="D937" s="22"/>
      <c r="F937" s="11"/>
    </row>
    <row r="938" spans="4:6">
      <c r="D938" s="22"/>
      <c r="F938" s="11"/>
    </row>
    <row r="939" spans="4:6">
      <c r="D939" s="22"/>
      <c r="F939" s="11"/>
    </row>
    <row r="940" spans="4:6">
      <c r="D940" s="22"/>
      <c r="F940" s="11"/>
    </row>
    <row r="941" spans="4:6">
      <c r="D941" s="22"/>
      <c r="F941" s="11"/>
    </row>
    <row r="942" spans="4:6">
      <c r="D942" s="22"/>
      <c r="F942" s="11"/>
    </row>
    <row r="943" spans="4:6">
      <c r="D943" s="22"/>
      <c r="F943" s="11"/>
    </row>
    <row r="944" spans="4:6">
      <c r="D944" s="22"/>
      <c r="F944" s="11"/>
    </row>
    <row r="945" spans="4:6">
      <c r="D945" s="22"/>
      <c r="F945" s="11"/>
    </row>
    <row r="946" spans="4:6">
      <c r="D946" s="22"/>
      <c r="F946" s="11"/>
    </row>
    <row r="947" spans="4:6">
      <c r="D947" s="22"/>
      <c r="F947" s="11"/>
    </row>
    <row r="948" spans="4:6">
      <c r="D948" s="22"/>
      <c r="F948" s="11"/>
    </row>
    <row r="949" spans="4:6">
      <c r="D949" s="22"/>
      <c r="F949" s="11"/>
    </row>
    <row r="950" spans="4:6">
      <c r="D950" s="22"/>
      <c r="F950" s="11"/>
    </row>
    <row r="951" spans="4:6">
      <c r="D951" s="22"/>
      <c r="F951" s="11"/>
    </row>
    <row r="952" spans="4:6">
      <c r="D952" s="22"/>
      <c r="F952" s="11"/>
    </row>
    <row r="953" spans="4:6">
      <c r="D953" s="22"/>
      <c r="F953" s="11"/>
    </row>
    <row r="954" spans="4:6">
      <c r="D954" s="22"/>
      <c r="F954" s="11"/>
    </row>
    <row r="955" spans="4:6">
      <c r="D955" s="22"/>
      <c r="F955" s="11"/>
    </row>
    <row r="956" spans="4:6">
      <c r="D956" s="22"/>
      <c r="F956" s="11"/>
    </row>
    <row r="957" spans="4:6">
      <c r="D957" s="22"/>
      <c r="F957" s="11"/>
    </row>
    <row r="958" spans="4:6">
      <c r="D958" s="22"/>
      <c r="F958" s="11"/>
    </row>
    <row r="959" spans="4:6">
      <c r="D959" s="22"/>
      <c r="F959" s="11"/>
    </row>
    <row r="960" spans="4:6">
      <c r="D960" s="22"/>
      <c r="F960" s="11"/>
    </row>
    <row r="961" spans="4:6">
      <c r="D961" s="22"/>
      <c r="F961" s="11"/>
    </row>
    <row r="962" spans="4:6">
      <c r="D962" s="22"/>
      <c r="F962" s="11"/>
    </row>
    <row r="963" spans="4:6">
      <c r="D963" s="22"/>
      <c r="F963" s="11"/>
    </row>
    <row r="964" spans="4:6">
      <c r="D964" s="22"/>
      <c r="F964" s="11"/>
    </row>
    <row r="965" spans="4:6">
      <c r="D965" s="22"/>
      <c r="F965" s="11"/>
    </row>
    <row r="966" spans="4:6">
      <c r="D966" s="22"/>
      <c r="F966" s="11"/>
    </row>
    <row r="967" spans="4:6">
      <c r="D967" s="22"/>
      <c r="F967" s="11"/>
    </row>
    <row r="968" spans="4:6">
      <c r="D968" s="22"/>
      <c r="F968" s="11"/>
    </row>
    <row r="969" spans="4:6">
      <c r="D969" s="22"/>
      <c r="F969" s="11"/>
    </row>
    <row r="970" spans="4:6">
      <c r="D970" s="22"/>
      <c r="F970" s="11"/>
    </row>
    <row r="971" spans="4:6">
      <c r="D971" s="22"/>
      <c r="F971" s="11"/>
    </row>
    <row r="972" spans="4:6">
      <c r="D972" s="22"/>
      <c r="F972" s="11"/>
    </row>
    <row r="973" spans="4:6">
      <c r="D973" s="22"/>
      <c r="F973" s="11"/>
    </row>
    <row r="974" spans="4:6">
      <c r="D974" s="22"/>
      <c r="F974" s="11"/>
    </row>
    <row r="975" spans="4:6">
      <c r="D975" s="22"/>
      <c r="F975" s="11"/>
    </row>
    <row r="976" spans="4:6">
      <c r="D976" s="22"/>
      <c r="F976" s="11"/>
    </row>
    <row r="977" spans="4:6">
      <c r="D977" s="22"/>
      <c r="F977" s="11"/>
    </row>
    <row r="978" spans="4:6">
      <c r="D978" s="22"/>
      <c r="F978" s="11"/>
    </row>
    <row r="979" spans="4:6">
      <c r="D979" s="22"/>
      <c r="F979" s="11"/>
    </row>
    <row r="980" spans="4:6">
      <c r="D980" s="22"/>
      <c r="F980" s="11"/>
    </row>
    <row r="981" spans="4:6">
      <c r="D981" s="22"/>
      <c r="F981" s="11"/>
    </row>
    <row r="982" spans="4:6">
      <c r="D982" s="22"/>
      <c r="F982" s="11"/>
    </row>
    <row r="983" spans="4:6">
      <c r="D983" s="22"/>
      <c r="F983" s="11"/>
    </row>
    <row r="984" spans="4:6">
      <c r="D984" s="22"/>
      <c r="F984" s="11"/>
    </row>
    <row r="985" spans="4:6">
      <c r="D985" s="22"/>
      <c r="F985" s="11"/>
    </row>
    <row r="986" spans="4:6">
      <c r="D986" s="22"/>
      <c r="F986" s="11"/>
    </row>
    <row r="987" spans="4:6">
      <c r="D987" s="22"/>
      <c r="F987" s="11"/>
    </row>
    <row r="988" spans="4:6">
      <c r="D988" s="22"/>
      <c r="F988" s="11"/>
    </row>
    <row r="989" spans="4:6">
      <c r="D989" s="22"/>
      <c r="F989" s="11"/>
    </row>
    <row r="990" spans="4:6">
      <c r="D990" s="22"/>
      <c r="F990" s="11"/>
    </row>
    <row r="991" spans="4:6">
      <c r="D991" s="22"/>
      <c r="F991" s="11"/>
    </row>
    <row r="992" spans="4:6">
      <c r="D992" s="22"/>
      <c r="F992" s="11"/>
    </row>
    <row r="993" spans="4:6">
      <c r="D993" s="22"/>
      <c r="F993" s="11"/>
    </row>
    <row r="994" spans="4:6">
      <c r="D994" s="22"/>
      <c r="F994" s="11"/>
    </row>
    <row r="995" spans="4:6">
      <c r="D995" s="22"/>
      <c r="F995" s="11"/>
    </row>
    <row r="996" spans="4:6">
      <c r="D996" s="22"/>
      <c r="F996" s="11"/>
    </row>
    <row r="997" spans="4:6">
      <c r="D997" s="22"/>
      <c r="F997" s="11"/>
    </row>
    <row r="998" spans="4:6">
      <c r="D998" s="22"/>
      <c r="F998" s="11"/>
    </row>
    <row r="999" spans="4:6">
      <c r="D999" s="22"/>
      <c r="F999" s="11"/>
    </row>
    <row r="1000" spans="4:6">
      <c r="D1000" s="22"/>
      <c r="F1000" s="1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Views>
    <sheetView workbookViewId="0">
      <selection activeCell="H5" sqref="H5"/>
    </sheetView>
  </sheetViews>
  <sheetFormatPr defaultRowHeight="12.75"/>
  <cols>
    <col min="7" max="7" width="19" customWidth="1"/>
  </cols>
  <sheetData>
    <row r="1" spans="1:8">
      <c r="A1" t="s">
        <v>0</v>
      </c>
      <c r="B1" t="s">
        <v>20</v>
      </c>
      <c r="C1" t="s">
        <v>2</v>
      </c>
      <c r="D1" t="s">
        <v>3</v>
      </c>
      <c r="E1" t="s">
        <v>4</v>
      </c>
      <c r="F1" t="s">
        <v>16</v>
      </c>
      <c r="G1" t="s">
        <v>24</v>
      </c>
      <c r="H1" t="s">
        <v>5</v>
      </c>
    </row>
    <row r="2" spans="1:8">
      <c r="A2" s="24">
        <v>0.36509259259259258</v>
      </c>
      <c r="B2" t="s">
        <v>14</v>
      </c>
      <c r="C2" t="s">
        <v>7</v>
      </c>
      <c r="D2">
        <v>2.4900000000000002</v>
      </c>
      <c r="E2">
        <v>3</v>
      </c>
      <c r="F2" t="s">
        <v>22</v>
      </c>
      <c r="G2" s="25">
        <v>44274</v>
      </c>
      <c r="H2">
        <f>IF(C2="Продажа",D2*E2,-D2*E2)</f>
        <v>7.4700000000000006</v>
      </c>
    </row>
    <row r="3" spans="1:8">
      <c r="A3" s="24">
        <v>0.36447916666666669</v>
      </c>
      <c r="B3" t="s">
        <v>14</v>
      </c>
      <c r="C3" t="s">
        <v>7</v>
      </c>
      <c r="D3">
        <v>2.4889999999999999</v>
      </c>
      <c r="E3">
        <v>4</v>
      </c>
      <c r="F3" t="s">
        <v>22</v>
      </c>
      <c r="G3" s="25">
        <v>44274</v>
      </c>
      <c r="H3">
        <f t="shared" ref="H3:H66" si="0">IF(C3="Продажа",D3*E3,-D3*E3)</f>
        <v>9.9559999999999995</v>
      </c>
    </row>
    <row r="4" spans="1:8">
      <c r="A4" s="24">
        <v>0.3616435185185185</v>
      </c>
      <c r="B4" t="s">
        <v>14</v>
      </c>
      <c r="C4" t="s">
        <v>7</v>
      </c>
      <c r="D4">
        <v>2.4900000000000002</v>
      </c>
      <c r="E4">
        <v>3</v>
      </c>
      <c r="F4" t="s">
        <v>22</v>
      </c>
      <c r="G4" s="25">
        <v>44274</v>
      </c>
      <c r="H4">
        <f t="shared" si="0"/>
        <v>7.4700000000000006</v>
      </c>
    </row>
    <row r="5" spans="1:8">
      <c r="A5" s="24">
        <v>0.3616435185185185</v>
      </c>
      <c r="B5" t="s">
        <v>14</v>
      </c>
      <c r="C5" t="s">
        <v>7</v>
      </c>
      <c r="D5">
        <v>2.4889999999999999</v>
      </c>
      <c r="E5">
        <v>3</v>
      </c>
      <c r="F5" t="s">
        <v>22</v>
      </c>
      <c r="G5" s="25">
        <v>44274</v>
      </c>
      <c r="H5">
        <f t="shared" si="0"/>
        <v>7.4669999999999996</v>
      </c>
    </row>
    <row r="6" spans="1:8">
      <c r="A6" s="24">
        <v>0.35961805555555554</v>
      </c>
      <c r="B6" t="s">
        <v>14</v>
      </c>
      <c r="C6" t="s">
        <v>7</v>
      </c>
      <c r="D6">
        <v>2.4889999999999999</v>
      </c>
      <c r="E6">
        <v>4</v>
      </c>
      <c r="F6" t="s">
        <v>22</v>
      </c>
      <c r="G6" s="25">
        <v>44274</v>
      </c>
      <c r="H6">
        <f t="shared" si="0"/>
        <v>9.9559999999999995</v>
      </c>
    </row>
    <row r="7" spans="1:8">
      <c r="A7" s="24">
        <v>0.33788194444444447</v>
      </c>
      <c r="B7" t="s">
        <v>14</v>
      </c>
      <c r="C7" t="s">
        <v>7</v>
      </c>
      <c r="D7">
        <v>2.4889999999999999</v>
      </c>
      <c r="E7">
        <v>2</v>
      </c>
      <c r="F7" t="s">
        <v>22</v>
      </c>
      <c r="G7" s="25">
        <v>44274</v>
      </c>
      <c r="H7">
        <f t="shared" si="0"/>
        <v>4.9779999999999998</v>
      </c>
    </row>
    <row r="8" spans="1:8">
      <c r="A8" s="24">
        <v>0.33679398148148149</v>
      </c>
      <c r="B8" t="s">
        <v>14</v>
      </c>
      <c r="C8" t="s">
        <v>7</v>
      </c>
      <c r="D8">
        <v>2.4889999999999999</v>
      </c>
      <c r="E8">
        <v>1</v>
      </c>
      <c r="F8" t="s">
        <v>22</v>
      </c>
      <c r="G8" s="25">
        <v>44274</v>
      </c>
      <c r="H8">
        <f t="shared" si="0"/>
        <v>2.4889999999999999</v>
      </c>
    </row>
    <row r="9" spans="1:8">
      <c r="A9" s="24">
        <v>0.32967592592592593</v>
      </c>
      <c r="B9" t="s">
        <v>17</v>
      </c>
      <c r="C9" t="s">
        <v>7</v>
      </c>
      <c r="D9">
        <v>63.38</v>
      </c>
      <c r="E9">
        <v>25</v>
      </c>
      <c r="F9" t="s">
        <v>22</v>
      </c>
      <c r="G9" s="25">
        <v>44274</v>
      </c>
      <c r="H9">
        <f t="shared" si="0"/>
        <v>1584.5</v>
      </c>
    </row>
    <row r="10" spans="1:8">
      <c r="A10" s="24">
        <v>0.32967592592592593</v>
      </c>
      <c r="B10" t="s">
        <v>17</v>
      </c>
      <c r="C10" t="s">
        <v>7</v>
      </c>
      <c r="D10">
        <v>63.37</v>
      </c>
      <c r="E10">
        <v>25</v>
      </c>
      <c r="F10" t="s">
        <v>22</v>
      </c>
      <c r="G10" s="25">
        <v>44274</v>
      </c>
      <c r="H10">
        <f t="shared" si="0"/>
        <v>1584.25</v>
      </c>
    </row>
    <row r="11" spans="1:8">
      <c r="A11" s="24">
        <v>0.32967592592592593</v>
      </c>
      <c r="B11" t="s">
        <v>19</v>
      </c>
      <c r="C11" t="s">
        <v>7</v>
      </c>
      <c r="D11">
        <v>63.5</v>
      </c>
      <c r="E11">
        <v>40</v>
      </c>
      <c r="F11" t="s">
        <v>22</v>
      </c>
      <c r="G11" s="25">
        <v>44274</v>
      </c>
      <c r="H11">
        <f t="shared" si="0"/>
        <v>2540</v>
      </c>
    </row>
    <row r="12" spans="1:8">
      <c r="A12" s="24">
        <v>0.3291782407407407</v>
      </c>
      <c r="B12" t="s">
        <v>14</v>
      </c>
      <c r="C12" t="s">
        <v>7</v>
      </c>
      <c r="D12">
        <v>2.4929999999999999</v>
      </c>
      <c r="E12">
        <v>1</v>
      </c>
      <c r="F12" t="s">
        <v>22</v>
      </c>
      <c r="G12" s="25">
        <v>44274</v>
      </c>
      <c r="H12">
        <f t="shared" si="0"/>
        <v>2.4929999999999999</v>
      </c>
    </row>
    <row r="13" spans="1:8">
      <c r="A13" s="24">
        <v>0.32908564814814817</v>
      </c>
      <c r="B13" t="s">
        <v>14</v>
      </c>
      <c r="C13" t="s">
        <v>7</v>
      </c>
      <c r="D13">
        <v>2.4929999999999999</v>
      </c>
      <c r="E13">
        <v>1</v>
      </c>
      <c r="F13" t="s">
        <v>22</v>
      </c>
      <c r="G13" s="25">
        <v>44274</v>
      </c>
      <c r="H13">
        <f t="shared" si="0"/>
        <v>2.4929999999999999</v>
      </c>
    </row>
    <row r="14" spans="1:8">
      <c r="A14" s="24">
        <v>0.32537037037037037</v>
      </c>
      <c r="B14" t="s">
        <v>14</v>
      </c>
      <c r="C14" t="s">
        <v>7</v>
      </c>
      <c r="D14">
        <v>2.4929999999999999</v>
      </c>
      <c r="E14">
        <v>1</v>
      </c>
      <c r="F14" t="s">
        <v>22</v>
      </c>
      <c r="G14" s="25">
        <v>44274</v>
      </c>
      <c r="H14">
        <f t="shared" si="0"/>
        <v>2.4929999999999999</v>
      </c>
    </row>
    <row r="15" spans="1:8">
      <c r="A15" s="24">
        <v>0.32537037037037037</v>
      </c>
      <c r="B15" t="s">
        <v>14</v>
      </c>
      <c r="C15" t="s">
        <v>7</v>
      </c>
      <c r="D15">
        <v>2.4929999999999999</v>
      </c>
      <c r="E15">
        <v>1</v>
      </c>
      <c r="F15" t="s">
        <v>22</v>
      </c>
      <c r="G15" s="25">
        <v>44274</v>
      </c>
      <c r="H15">
        <f t="shared" si="0"/>
        <v>2.4929999999999999</v>
      </c>
    </row>
    <row r="16" spans="1:8">
      <c r="A16" s="24">
        <v>0.32537037037037037</v>
      </c>
      <c r="B16" t="s">
        <v>14</v>
      </c>
      <c r="C16" t="s">
        <v>7</v>
      </c>
      <c r="D16">
        <v>2.492</v>
      </c>
      <c r="E16">
        <v>1</v>
      </c>
      <c r="F16" t="s">
        <v>22</v>
      </c>
      <c r="G16" s="25">
        <v>44274</v>
      </c>
      <c r="H16">
        <f t="shared" si="0"/>
        <v>2.492</v>
      </c>
    </row>
    <row r="17" spans="1:8">
      <c r="A17" s="24">
        <v>0.32337962962962963</v>
      </c>
      <c r="B17" t="s">
        <v>19</v>
      </c>
      <c r="C17" t="s">
        <v>7</v>
      </c>
      <c r="D17">
        <v>63.47</v>
      </c>
      <c r="E17">
        <v>52</v>
      </c>
      <c r="F17" t="s">
        <v>22</v>
      </c>
      <c r="G17" s="25">
        <v>44274</v>
      </c>
      <c r="H17">
        <f t="shared" si="0"/>
        <v>3300.44</v>
      </c>
    </row>
    <row r="18" spans="1:8">
      <c r="A18" s="24">
        <v>0.32040509259259259</v>
      </c>
      <c r="B18" t="s">
        <v>19</v>
      </c>
      <c r="C18" t="s">
        <v>8</v>
      </c>
      <c r="D18">
        <v>63.48</v>
      </c>
      <c r="E18">
        <v>25</v>
      </c>
      <c r="F18" t="s">
        <v>22</v>
      </c>
      <c r="G18" s="25">
        <v>44274</v>
      </c>
      <c r="H18">
        <f t="shared" si="0"/>
        <v>-1587</v>
      </c>
    </row>
    <row r="19" spans="1:8">
      <c r="A19" s="24">
        <v>0.32040509259259259</v>
      </c>
      <c r="B19" t="s">
        <v>19</v>
      </c>
      <c r="C19" t="s">
        <v>8</v>
      </c>
      <c r="D19">
        <v>63.48</v>
      </c>
      <c r="E19">
        <v>21</v>
      </c>
      <c r="F19" t="s">
        <v>22</v>
      </c>
      <c r="G19" s="25">
        <v>44274</v>
      </c>
      <c r="H19">
        <f t="shared" si="0"/>
        <v>-1333.08</v>
      </c>
    </row>
    <row r="20" spans="1:8">
      <c r="A20" s="24">
        <v>0.31918981481481484</v>
      </c>
      <c r="B20" t="s">
        <v>14</v>
      </c>
      <c r="C20" t="s">
        <v>7</v>
      </c>
      <c r="D20">
        <v>2.492</v>
      </c>
      <c r="E20">
        <v>1</v>
      </c>
      <c r="F20" t="s">
        <v>22</v>
      </c>
      <c r="G20" s="25">
        <v>44274</v>
      </c>
      <c r="H20">
        <f t="shared" si="0"/>
        <v>2.492</v>
      </c>
    </row>
    <row r="21" spans="1:8">
      <c r="A21" s="24">
        <v>0.31814814814814812</v>
      </c>
      <c r="B21" t="s">
        <v>17</v>
      </c>
      <c r="C21" t="s">
        <v>8</v>
      </c>
      <c r="D21">
        <v>63.42</v>
      </c>
      <c r="E21">
        <v>93</v>
      </c>
      <c r="F21" t="s">
        <v>22</v>
      </c>
      <c r="G21" s="25">
        <v>44274</v>
      </c>
      <c r="H21">
        <f t="shared" si="0"/>
        <v>-5898.06</v>
      </c>
    </row>
    <row r="22" spans="1:8">
      <c r="A22" s="24">
        <v>0.31814814814814812</v>
      </c>
      <c r="B22" t="s">
        <v>17</v>
      </c>
      <c r="C22" t="s">
        <v>8</v>
      </c>
      <c r="D22">
        <v>63.39</v>
      </c>
      <c r="E22">
        <v>3</v>
      </c>
      <c r="F22" t="s">
        <v>22</v>
      </c>
      <c r="G22" s="25">
        <v>44274</v>
      </c>
      <c r="H22">
        <f t="shared" si="0"/>
        <v>-190.17000000000002</v>
      </c>
    </row>
    <row r="23" spans="1:8">
      <c r="A23" s="24">
        <v>0.31814814814814812</v>
      </c>
      <c r="B23" t="s">
        <v>17</v>
      </c>
      <c r="C23" t="s">
        <v>8</v>
      </c>
      <c r="D23">
        <v>63.39</v>
      </c>
      <c r="E23">
        <v>2</v>
      </c>
      <c r="F23" t="s">
        <v>22</v>
      </c>
      <c r="G23" s="25">
        <v>44274</v>
      </c>
      <c r="H23">
        <f t="shared" si="0"/>
        <v>-126.78</v>
      </c>
    </row>
    <row r="24" spans="1:8">
      <c r="A24" s="24">
        <v>0.31814814814814812</v>
      </c>
      <c r="B24" t="s">
        <v>17</v>
      </c>
      <c r="C24" t="s">
        <v>8</v>
      </c>
      <c r="D24">
        <v>63.38</v>
      </c>
      <c r="E24">
        <v>2</v>
      </c>
      <c r="F24" t="s">
        <v>22</v>
      </c>
      <c r="G24" s="25">
        <v>44274</v>
      </c>
      <c r="H24">
        <f t="shared" si="0"/>
        <v>-126.76</v>
      </c>
    </row>
    <row r="25" spans="1:8">
      <c r="A25" s="24">
        <v>0.31814814814814812</v>
      </c>
      <c r="B25" t="s">
        <v>17</v>
      </c>
      <c r="C25" t="s">
        <v>8</v>
      </c>
      <c r="D25">
        <v>63.38</v>
      </c>
      <c r="E25">
        <v>100</v>
      </c>
      <c r="F25" t="s">
        <v>22</v>
      </c>
      <c r="G25" s="25">
        <v>44274</v>
      </c>
      <c r="H25">
        <f t="shared" si="0"/>
        <v>-6338</v>
      </c>
    </row>
    <row r="26" spans="1:8">
      <c r="A26" s="24">
        <v>0.31814814814814812</v>
      </c>
      <c r="B26" t="s">
        <v>17</v>
      </c>
      <c r="C26" t="s">
        <v>8</v>
      </c>
      <c r="D26">
        <v>63.35</v>
      </c>
      <c r="E26">
        <v>20</v>
      </c>
      <c r="F26" t="s">
        <v>22</v>
      </c>
      <c r="G26" s="25">
        <v>44274</v>
      </c>
      <c r="H26">
        <f t="shared" si="0"/>
        <v>-1267</v>
      </c>
    </row>
    <row r="27" spans="1:8">
      <c r="A27" s="24">
        <v>0.31814814814814812</v>
      </c>
      <c r="B27" t="s">
        <v>17</v>
      </c>
      <c r="C27" t="s">
        <v>8</v>
      </c>
      <c r="D27">
        <v>63.34</v>
      </c>
      <c r="E27">
        <v>7</v>
      </c>
      <c r="F27" t="s">
        <v>22</v>
      </c>
      <c r="G27" s="25">
        <v>44274</v>
      </c>
      <c r="H27">
        <f t="shared" si="0"/>
        <v>-443.38</v>
      </c>
    </row>
    <row r="28" spans="1:8">
      <c r="A28" s="24">
        <v>0.31814814814814812</v>
      </c>
      <c r="B28" t="s">
        <v>17</v>
      </c>
      <c r="C28" t="s">
        <v>8</v>
      </c>
      <c r="D28">
        <v>63.34</v>
      </c>
      <c r="E28">
        <v>20</v>
      </c>
      <c r="F28" t="s">
        <v>22</v>
      </c>
      <c r="G28" s="25">
        <v>44274</v>
      </c>
      <c r="H28">
        <f t="shared" si="0"/>
        <v>-1266.8000000000002</v>
      </c>
    </row>
    <row r="29" spans="1:8">
      <c r="A29" s="24">
        <v>0.31814814814814812</v>
      </c>
      <c r="B29" t="s">
        <v>17</v>
      </c>
      <c r="C29" t="s">
        <v>8</v>
      </c>
      <c r="D29">
        <v>63.33</v>
      </c>
      <c r="E29">
        <v>20</v>
      </c>
      <c r="F29" t="s">
        <v>22</v>
      </c>
      <c r="G29" s="25">
        <v>44274</v>
      </c>
      <c r="H29">
        <f t="shared" si="0"/>
        <v>-1266.5999999999999</v>
      </c>
    </row>
    <row r="30" spans="1:8">
      <c r="A30" s="24">
        <v>0.31814814814814812</v>
      </c>
      <c r="B30" t="s">
        <v>17</v>
      </c>
      <c r="C30" t="s">
        <v>8</v>
      </c>
      <c r="D30">
        <v>63.32</v>
      </c>
      <c r="E30">
        <v>20</v>
      </c>
      <c r="F30" t="s">
        <v>22</v>
      </c>
      <c r="G30" s="25">
        <v>44274</v>
      </c>
      <c r="H30">
        <f t="shared" si="0"/>
        <v>-1266.4000000000001</v>
      </c>
    </row>
    <row r="31" spans="1:8">
      <c r="A31" s="24">
        <v>0.3181134259259259</v>
      </c>
      <c r="B31" t="s">
        <v>17</v>
      </c>
      <c r="C31" t="s">
        <v>8</v>
      </c>
      <c r="D31">
        <v>63.37</v>
      </c>
      <c r="E31">
        <v>75</v>
      </c>
      <c r="F31" t="s">
        <v>22</v>
      </c>
      <c r="G31" s="25">
        <v>44274</v>
      </c>
      <c r="H31">
        <f t="shared" si="0"/>
        <v>-4752.75</v>
      </c>
    </row>
    <row r="32" spans="1:8">
      <c r="A32" s="24">
        <v>0.3181134259259259</v>
      </c>
      <c r="B32" t="s">
        <v>17</v>
      </c>
      <c r="C32" t="s">
        <v>8</v>
      </c>
      <c r="D32">
        <v>63.37</v>
      </c>
      <c r="E32">
        <v>5</v>
      </c>
      <c r="F32" t="s">
        <v>22</v>
      </c>
      <c r="G32" s="25">
        <v>44274</v>
      </c>
      <c r="H32">
        <f t="shared" si="0"/>
        <v>-316.84999999999997</v>
      </c>
    </row>
    <row r="33" spans="1:8">
      <c r="A33" s="24">
        <v>0.3181134259259259</v>
      </c>
      <c r="B33" t="s">
        <v>17</v>
      </c>
      <c r="C33" t="s">
        <v>8</v>
      </c>
      <c r="D33">
        <v>63.36</v>
      </c>
      <c r="E33">
        <v>100</v>
      </c>
      <c r="F33" t="s">
        <v>22</v>
      </c>
      <c r="G33" s="25">
        <v>44274</v>
      </c>
      <c r="H33">
        <f t="shared" si="0"/>
        <v>-6336</v>
      </c>
    </row>
    <row r="34" spans="1:8">
      <c r="A34" s="24">
        <v>0.3181134259259259</v>
      </c>
      <c r="B34" t="s">
        <v>17</v>
      </c>
      <c r="C34" t="s">
        <v>8</v>
      </c>
      <c r="D34">
        <v>63.34</v>
      </c>
      <c r="E34">
        <v>20</v>
      </c>
      <c r="F34" t="s">
        <v>22</v>
      </c>
      <c r="G34" s="25">
        <v>44274</v>
      </c>
      <c r="H34">
        <f t="shared" si="0"/>
        <v>-1266.8000000000002</v>
      </c>
    </row>
    <row r="35" spans="1:8">
      <c r="A35" s="24">
        <v>0.3181134259259259</v>
      </c>
      <c r="B35" t="s">
        <v>17</v>
      </c>
      <c r="C35" t="s">
        <v>8</v>
      </c>
      <c r="D35">
        <v>63.33</v>
      </c>
      <c r="E35">
        <v>7</v>
      </c>
      <c r="F35" t="s">
        <v>22</v>
      </c>
      <c r="G35" s="25">
        <v>44274</v>
      </c>
      <c r="H35">
        <f t="shared" si="0"/>
        <v>-443.31</v>
      </c>
    </row>
    <row r="36" spans="1:8">
      <c r="A36" s="24">
        <v>0.3181134259259259</v>
      </c>
      <c r="B36" t="s">
        <v>17</v>
      </c>
      <c r="C36" t="s">
        <v>8</v>
      </c>
      <c r="D36">
        <v>63.33</v>
      </c>
      <c r="E36">
        <v>20</v>
      </c>
      <c r="F36" t="s">
        <v>22</v>
      </c>
      <c r="G36" s="25">
        <v>44274</v>
      </c>
      <c r="H36">
        <f t="shared" si="0"/>
        <v>-1266.5999999999999</v>
      </c>
    </row>
    <row r="37" spans="1:8">
      <c r="A37" s="24">
        <v>0.3181134259259259</v>
      </c>
      <c r="B37" t="s">
        <v>17</v>
      </c>
      <c r="C37" t="s">
        <v>8</v>
      </c>
      <c r="D37">
        <v>63.32</v>
      </c>
      <c r="E37">
        <v>20</v>
      </c>
      <c r="F37" t="s">
        <v>22</v>
      </c>
      <c r="G37" s="25">
        <v>44274</v>
      </c>
      <c r="H37">
        <f t="shared" si="0"/>
        <v>-1266.4000000000001</v>
      </c>
    </row>
    <row r="38" spans="1:8">
      <c r="A38" s="24">
        <v>0.31809027777777776</v>
      </c>
      <c r="B38" t="s">
        <v>17</v>
      </c>
      <c r="C38" t="s">
        <v>8</v>
      </c>
      <c r="D38">
        <v>63.35</v>
      </c>
      <c r="E38">
        <v>7</v>
      </c>
      <c r="F38" t="s">
        <v>22</v>
      </c>
      <c r="G38" s="25">
        <v>44274</v>
      </c>
      <c r="H38">
        <f t="shared" si="0"/>
        <v>-443.45</v>
      </c>
    </row>
    <row r="39" spans="1:8">
      <c r="A39" s="24">
        <v>0.31809027777777776</v>
      </c>
      <c r="B39" t="s">
        <v>17</v>
      </c>
      <c r="C39" t="s">
        <v>8</v>
      </c>
      <c r="D39">
        <v>63.35</v>
      </c>
      <c r="E39">
        <v>20</v>
      </c>
      <c r="F39" t="s">
        <v>22</v>
      </c>
      <c r="G39" s="25">
        <v>44274</v>
      </c>
      <c r="H39">
        <f t="shared" si="0"/>
        <v>-1267</v>
      </c>
    </row>
    <row r="40" spans="1:8">
      <c r="A40" s="24">
        <v>0.31809027777777776</v>
      </c>
      <c r="B40" t="s">
        <v>17</v>
      </c>
      <c r="C40" t="s">
        <v>8</v>
      </c>
      <c r="D40">
        <v>63.34</v>
      </c>
      <c r="E40">
        <v>7</v>
      </c>
      <c r="F40" t="s">
        <v>22</v>
      </c>
      <c r="G40" s="25">
        <v>44274</v>
      </c>
      <c r="H40">
        <f t="shared" si="0"/>
        <v>-443.38</v>
      </c>
    </row>
    <row r="41" spans="1:8">
      <c r="A41" s="24">
        <v>0.31809027777777776</v>
      </c>
      <c r="B41" t="s">
        <v>17</v>
      </c>
      <c r="C41" t="s">
        <v>8</v>
      </c>
      <c r="D41">
        <v>63.34</v>
      </c>
      <c r="E41">
        <v>20</v>
      </c>
      <c r="F41" t="s">
        <v>22</v>
      </c>
      <c r="G41" s="25">
        <v>44274</v>
      </c>
      <c r="H41">
        <f t="shared" si="0"/>
        <v>-1266.8000000000002</v>
      </c>
    </row>
    <row r="42" spans="1:8">
      <c r="A42" s="24">
        <v>0.31809027777777776</v>
      </c>
      <c r="B42" t="s">
        <v>17</v>
      </c>
      <c r="C42" t="s">
        <v>8</v>
      </c>
      <c r="D42">
        <v>63.33</v>
      </c>
      <c r="E42">
        <v>7</v>
      </c>
      <c r="F42" t="s">
        <v>22</v>
      </c>
      <c r="G42" s="25">
        <v>44274</v>
      </c>
      <c r="H42">
        <f t="shared" si="0"/>
        <v>-443.31</v>
      </c>
    </row>
    <row r="43" spans="1:8">
      <c r="A43" s="24">
        <v>0.31809027777777776</v>
      </c>
      <c r="B43" t="s">
        <v>17</v>
      </c>
      <c r="C43" t="s">
        <v>8</v>
      </c>
      <c r="D43">
        <v>63.33</v>
      </c>
      <c r="E43">
        <v>15</v>
      </c>
      <c r="F43" t="s">
        <v>22</v>
      </c>
      <c r="G43" s="25">
        <v>44274</v>
      </c>
      <c r="H43">
        <f t="shared" si="0"/>
        <v>-949.94999999999993</v>
      </c>
    </row>
    <row r="44" spans="1:8">
      <c r="A44" s="24">
        <v>0.31805555555555554</v>
      </c>
      <c r="B44" t="s">
        <v>17</v>
      </c>
      <c r="C44" t="s">
        <v>8</v>
      </c>
      <c r="D44">
        <v>63.42</v>
      </c>
      <c r="E44">
        <v>73</v>
      </c>
      <c r="F44" t="s">
        <v>22</v>
      </c>
      <c r="G44" s="25">
        <v>44274</v>
      </c>
      <c r="H44">
        <f t="shared" si="0"/>
        <v>-4629.66</v>
      </c>
    </row>
    <row r="45" spans="1:8">
      <c r="A45" s="24">
        <v>0.31805555555555554</v>
      </c>
      <c r="B45" t="s">
        <v>17</v>
      </c>
      <c r="C45" t="s">
        <v>8</v>
      </c>
      <c r="D45">
        <v>63.38</v>
      </c>
      <c r="E45">
        <v>100</v>
      </c>
      <c r="F45" t="s">
        <v>22</v>
      </c>
      <c r="G45" s="25">
        <v>44274</v>
      </c>
      <c r="H45">
        <f t="shared" si="0"/>
        <v>-6338</v>
      </c>
    </row>
    <row r="46" spans="1:8">
      <c r="A46" s="24">
        <v>0.31805555555555554</v>
      </c>
      <c r="B46" t="s">
        <v>17</v>
      </c>
      <c r="C46" t="s">
        <v>8</v>
      </c>
      <c r="D46">
        <v>63.36</v>
      </c>
      <c r="E46">
        <v>2</v>
      </c>
      <c r="F46" t="s">
        <v>22</v>
      </c>
      <c r="G46" s="25">
        <v>44274</v>
      </c>
      <c r="H46">
        <f t="shared" si="0"/>
        <v>-126.72</v>
      </c>
    </row>
    <row r="47" spans="1:8">
      <c r="A47" s="24">
        <v>0.31805555555555554</v>
      </c>
      <c r="B47" t="s">
        <v>17</v>
      </c>
      <c r="C47" t="s">
        <v>8</v>
      </c>
      <c r="D47">
        <v>63.36</v>
      </c>
      <c r="E47">
        <v>3</v>
      </c>
      <c r="F47" t="s">
        <v>22</v>
      </c>
      <c r="G47" s="25">
        <v>44274</v>
      </c>
      <c r="H47">
        <f t="shared" si="0"/>
        <v>-190.07999999999998</v>
      </c>
    </row>
    <row r="48" spans="1:8">
      <c r="A48" s="24">
        <v>0.31805555555555554</v>
      </c>
      <c r="B48" t="s">
        <v>17</v>
      </c>
      <c r="C48" t="s">
        <v>8</v>
      </c>
      <c r="D48">
        <v>63.36</v>
      </c>
      <c r="E48">
        <v>2</v>
      </c>
      <c r="F48" t="s">
        <v>22</v>
      </c>
      <c r="G48" s="25">
        <v>44274</v>
      </c>
      <c r="H48">
        <f t="shared" si="0"/>
        <v>-126.72</v>
      </c>
    </row>
    <row r="49" spans="1:8">
      <c r="A49" s="24">
        <v>0.31805555555555554</v>
      </c>
      <c r="B49" t="s">
        <v>17</v>
      </c>
      <c r="C49" t="s">
        <v>8</v>
      </c>
      <c r="D49">
        <v>63.33</v>
      </c>
      <c r="E49">
        <v>20</v>
      </c>
      <c r="F49" t="s">
        <v>22</v>
      </c>
      <c r="G49" s="25">
        <v>44274</v>
      </c>
      <c r="H49">
        <f t="shared" si="0"/>
        <v>-1266.5999999999999</v>
      </c>
    </row>
    <row r="50" spans="1:8">
      <c r="A50" s="24">
        <v>0.31805555555555554</v>
      </c>
      <c r="B50" t="s">
        <v>17</v>
      </c>
      <c r="C50" t="s">
        <v>8</v>
      </c>
      <c r="D50">
        <v>63.32</v>
      </c>
      <c r="E50">
        <v>20</v>
      </c>
      <c r="F50" t="s">
        <v>22</v>
      </c>
      <c r="G50" s="25">
        <v>44274</v>
      </c>
      <c r="H50">
        <f t="shared" si="0"/>
        <v>-1266.4000000000001</v>
      </c>
    </row>
    <row r="51" spans="1:8">
      <c r="A51" s="24">
        <v>0.31802083333333336</v>
      </c>
      <c r="B51" t="s">
        <v>17</v>
      </c>
      <c r="C51" t="s">
        <v>7</v>
      </c>
      <c r="D51">
        <v>63.44</v>
      </c>
      <c r="E51">
        <v>200</v>
      </c>
      <c r="F51" t="s">
        <v>22</v>
      </c>
      <c r="G51" s="25">
        <v>44274</v>
      </c>
      <c r="H51">
        <f t="shared" si="0"/>
        <v>12688</v>
      </c>
    </row>
    <row r="52" spans="1:8">
      <c r="A52" s="24">
        <v>0.31792824074074072</v>
      </c>
      <c r="B52" t="s">
        <v>17</v>
      </c>
      <c r="C52" t="s">
        <v>8</v>
      </c>
      <c r="D52">
        <v>63.31</v>
      </c>
      <c r="E52">
        <v>20</v>
      </c>
      <c r="F52" t="s">
        <v>22</v>
      </c>
      <c r="G52" s="25">
        <v>44274</v>
      </c>
      <c r="H52">
        <f t="shared" si="0"/>
        <v>-1266.2</v>
      </c>
    </row>
    <row r="53" spans="1:8">
      <c r="A53" s="24">
        <v>0.31752314814814814</v>
      </c>
      <c r="B53" t="s">
        <v>19</v>
      </c>
      <c r="C53" t="s">
        <v>7</v>
      </c>
      <c r="D53">
        <v>63.5</v>
      </c>
      <c r="E53">
        <v>54</v>
      </c>
      <c r="F53" t="s">
        <v>22</v>
      </c>
      <c r="G53" s="25">
        <v>44274</v>
      </c>
      <c r="H53">
        <f t="shared" si="0"/>
        <v>3429</v>
      </c>
    </row>
    <row r="54" spans="1:8">
      <c r="A54" s="24">
        <v>0.31752314814814814</v>
      </c>
      <c r="B54" t="s">
        <v>17</v>
      </c>
      <c r="C54" t="s">
        <v>7</v>
      </c>
      <c r="D54">
        <v>63.33</v>
      </c>
      <c r="E54">
        <v>200</v>
      </c>
      <c r="F54" t="s">
        <v>22</v>
      </c>
      <c r="G54" s="25">
        <v>44274</v>
      </c>
      <c r="H54">
        <f t="shared" si="0"/>
        <v>12666</v>
      </c>
    </row>
    <row r="55" spans="1:8">
      <c r="A55" s="24">
        <v>0.3135532407407407</v>
      </c>
      <c r="B55" t="s">
        <v>14</v>
      </c>
      <c r="C55" t="s">
        <v>7</v>
      </c>
      <c r="D55">
        <v>2.4870000000000001</v>
      </c>
      <c r="E55">
        <v>1</v>
      </c>
      <c r="F55" t="s">
        <v>22</v>
      </c>
      <c r="G55" s="25">
        <v>44274</v>
      </c>
      <c r="H55">
        <f t="shared" si="0"/>
        <v>2.4870000000000001</v>
      </c>
    </row>
    <row r="56" spans="1:8">
      <c r="A56" s="24">
        <v>0.3135532407407407</v>
      </c>
      <c r="B56" t="s">
        <v>14</v>
      </c>
      <c r="C56" t="s">
        <v>7</v>
      </c>
      <c r="D56">
        <v>2.4870000000000001</v>
      </c>
      <c r="E56">
        <v>1</v>
      </c>
      <c r="F56" t="s">
        <v>22</v>
      </c>
      <c r="G56" s="25">
        <v>44274</v>
      </c>
      <c r="H56">
        <f t="shared" si="0"/>
        <v>2.4870000000000001</v>
      </c>
    </row>
    <row r="57" spans="1:8">
      <c r="A57" s="24">
        <v>0.3135532407407407</v>
      </c>
      <c r="B57" t="s">
        <v>14</v>
      </c>
      <c r="C57" t="s">
        <v>7</v>
      </c>
      <c r="D57">
        <v>2.488</v>
      </c>
      <c r="E57">
        <v>1</v>
      </c>
      <c r="F57" t="s">
        <v>22</v>
      </c>
      <c r="G57" s="25">
        <v>44274</v>
      </c>
      <c r="H57">
        <f t="shared" si="0"/>
        <v>2.488</v>
      </c>
    </row>
    <row r="58" spans="1:8">
      <c r="A58" s="24">
        <v>0.3135532407407407</v>
      </c>
      <c r="B58" t="s">
        <v>14</v>
      </c>
      <c r="C58" t="s">
        <v>7</v>
      </c>
      <c r="D58">
        <v>2.488</v>
      </c>
      <c r="E58">
        <v>1</v>
      </c>
      <c r="F58" t="s">
        <v>22</v>
      </c>
      <c r="G58" s="25">
        <v>44274</v>
      </c>
      <c r="H58">
        <f t="shared" si="0"/>
        <v>2.488</v>
      </c>
    </row>
    <row r="59" spans="1:8">
      <c r="A59" s="24">
        <v>0.3135532407407407</v>
      </c>
      <c r="B59" t="s">
        <v>14</v>
      </c>
      <c r="C59" t="s">
        <v>7</v>
      </c>
      <c r="D59">
        <v>2.4889999999999999</v>
      </c>
      <c r="E59">
        <v>1</v>
      </c>
      <c r="F59" t="s">
        <v>22</v>
      </c>
      <c r="G59" s="25">
        <v>44274</v>
      </c>
      <c r="H59">
        <f t="shared" si="0"/>
        <v>2.4889999999999999</v>
      </c>
    </row>
    <row r="60" spans="1:8">
      <c r="A60" s="24">
        <v>0.3064351851851852</v>
      </c>
      <c r="B60" t="s">
        <v>14</v>
      </c>
      <c r="C60" t="s">
        <v>7</v>
      </c>
      <c r="D60">
        <v>2.4900000000000002</v>
      </c>
      <c r="E60">
        <v>27</v>
      </c>
      <c r="F60" t="s">
        <v>22</v>
      </c>
      <c r="G60" s="25">
        <v>44274</v>
      </c>
      <c r="H60">
        <f t="shared" si="0"/>
        <v>67.23</v>
      </c>
    </row>
    <row r="61" spans="1:8">
      <c r="A61" s="24">
        <v>0.3064351851851852</v>
      </c>
      <c r="B61" t="s">
        <v>14</v>
      </c>
      <c r="C61" t="s">
        <v>7</v>
      </c>
      <c r="D61">
        <v>2.4900000000000002</v>
      </c>
      <c r="E61">
        <v>1</v>
      </c>
      <c r="F61" t="s">
        <v>22</v>
      </c>
      <c r="G61" s="25">
        <v>44274</v>
      </c>
      <c r="H61">
        <f t="shared" si="0"/>
        <v>2.4900000000000002</v>
      </c>
    </row>
    <row r="62" spans="1:8">
      <c r="A62" s="24">
        <v>0.3064351851851852</v>
      </c>
      <c r="B62" t="s">
        <v>14</v>
      </c>
      <c r="C62" t="s">
        <v>7</v>
      </c>
      <c r="D62">
        <v>2.4910000000000001</v>
      </c>
      <c r="E62">
        <v>1</v>
      </c>
      <c r="F62" t="s">
        <v>22</v>
      </c>
      <c r="G62" s="25">
        <v>44274</v>
      </c>
      <c r="H62">
        <f t="shared" si="0"/>
        <v>2.4910000000000001</v>
      </c>
    </row>
    <row r="63" spans="1:8">
      <c r="A63" s="24">
        <v>0.30527777777777781</v>
      </c>
      <c r="B63" t="s">
        <v>14</v>
      </c>
      <c r="C63" t="s">
        <v>7</v>
      </c>
      <c r="D63">
        <v>2.4929999999999999</v>
      </c>
      <c r="E63">
        <v>1</v>
      </c>
      <c r="F63" t="s">
        <v>22</v>
      </c>
      <c r="G63" s="25">
        <v>44274</v>
      </c>
      <c r="H63">
        <f t="shared" si="0"/>
        <v>2.4929999999999999</v>
      </c>
    </row>
    <row r="64" spans="1:8">
      <c r="A64" s="24">
        <v>0.30496527777777777</v>
      </c>
      <c r="B64" t="s">
        <v>14</v>
      </c>
      <c r="C64" t="s">
        <v>7</v>
      </c>
      <c r="D64">
        <v>2.492</v>
      </c>
      <c r="E64">
        <v>2</v>
      </c>
      <c r="F64" t="s">
        <v>22</v>
      </c>
      <c r="G64" s="25">
        <v>44274</v>
      </c>
      <c r="H64">
        <f t="shared" si="0"/>
        <v>4.984</v>
      </c>
    </row>
    <row r="65" spans="1:8">
      <c r="A65" s="24">
        <v>0.30399305555555556</v>
      </c>
      <c r="B65" t="s">
        <v>14</v>
      </c>
      <c r="C65" t="s">
        <v>7</v>
      </c>
      <c r="D65">
        <v>2.4900000000000002</v>
      </c>
      <c r="E65">
        <v>3</v>
      </c>
      <c r="F65" t="s">
        <v>22</v>
      </c>
      <c r="G65" s="25">
        <v>44274</v>
      </c>
      <c r="H65">
        <f t="shared" si="0"/>
        <v>7.4700000000000006</v>
      </c>
    </row>
    <row r="66" spans="1:8">
      <c r="A66" s="24">
        <v>0.30399305555555556</v>
      </c>
      <c r="B66" t="s">
        <v>14</v>
      </c>
      <c r="C66" t="s">
        <v>7</v>
      </c>
      <c r="D66">
        <v>2.4900000000000002</v>
      </c>
      <c r="E66">
        <v>1</v>
      </c>
      <c r="F66" t="s">
        <v>22</v>
      </c>
      <c r="G66" s="25">
        <v>44274</v>
      </c>
      <c r="H66">
        <f t="shared" si="0"/>
        <v>2.4900000000000002</v>
      </c>
    </row>
    <row r="67" spans="1:8">
      <c r="A67" s="24">
        <v>0.30033564814814812</v>
      </c>
      <c r="B67" t="s">
        <v>14</v>
      </c>
      <c r="C67" t="s">
        <v>7</v>
      </c>
      <c r="D67">
        <v>2.4900000000000002</v>
      </c>
      <c r="E67">
        <v>1</v>
      </c>
      <c r="F67" t="s">
        <v>22</v>
      </c>
      <c r="G67" s="25">
        <v>44274</v>
      </c>
      <c r="H67">
        <f t="shared" ref="H67:H71" si="1">IF(C67="Продажа",D67*E67,-D67*E67)</f>
        <v>2.4900000000000002</v>
      </c>
    </row>
    <row r="68" spans="1:8">
      <c r="A68" s="24">
        <v>0.30033564814814812</v>
      </c>
      <c r="B68" t="s">
        <v>14</v>
      </c>
      <c r="C68" t="s">
        <v>7</v>
      </c>
      <c r="D68">
        <v>2.4900000000000002</v>
      </c>
      <c r="E68">
        <v>1</v>
      </c>
      <c r="F68" t="s">
        <v>22</v>
      </c>
      <c r="G68" s="25">
        <v>44274</v>
      </c>
      <c r="H68">
        <f t="shared" si="1"/>
        <v>2.4900000000000002</v>
      </c>
    </row>
    <row r="69" spans="1:8">
      <c r="A69" s="24">
        <v>0.29881944444444447</v>
      </c>
      <c r="B69" t="s">
        <v>14</v>
      </c>
      <c r="C69" t="s">
        <v>7</v>
      </c>
      <c r="D69">
        <v>2.4910000000000001</v>
      </c>
      <c r="E69">
        <v>4</v>
      </c>
      <c r="F69" t="s">
        <v>22</v>
      </c>
      <c r="G69" s="25">
        <v>44274</v>
      </c>
      <c r="H69">
        <f t="shared" si="1"/>
        <v>9.9640000000000004</v>
      </c>
    </row>
    <row r="70" spans="1:8">
      <c r="A70" s="24">
        <v>0.29881944444444447</v>
      </c>
      <c r="B70" t="s">
        <v>14</v>
      </c>
      <c r="C70" t="s">
        <v>7</v>
      </c>
      <c r="D70">
        <v>2.4889999999999999</v>
      </c>
      <c r="E70">
        <v>5</v>
      </c>
      <c r="F70" t="s">
        <v>22</v>
      </c>
      <c r="G70" s="25">
        <v>44274</v>
      </c>
      <c r="H70">
        <f t="shared" si="1"/>
        <v>12.445</v>
      </c>
    </row>
    <row r="71" spans="1:8">
      <c r="A71" s="24">
        <v>0.2966550925925926</v>
      </c>
      <c r="B71" t="s">
        <v>14</v>
      </c>
      <c r="C71" t="s">
        <v>7</v>
      </c>
      <c r="D71">
        <v>2.484</v>
      </c>
      <c r="E71">
        <v>22</v>
      </c>
      <c r="F71" t="s">
        <v>22</v>
      </c>
      <c r="G71" s="25">
        <v>44274</v>
      </c>
      <c r="H71">
        <f t="shared" si="1"/>
        <v>54.647999999999996</v>
      </c>
    </row>
    <row r="72" spans="1:8">
      <c r="H72">
        <f>SUM(H2:H71)</f>
        <v>-18741.953999999987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Фин рез</vt:lpstr>
      <vt:lpstr>Exante</vt:lpstr>
      <vt:lpstr>03.03.21</vt:lpstr>
      <vt:lpstr>04.03.21</vt:lpstr>
      <vt:lpstr>05.03.21</vt:lpstr>
      <vt:lpstr>09.03.21</vt:lpstr>
      <vt:lpstr>10.03.21</vt:lpstr>
      <vt:lpstr>11.03.21</vt:lpstr>
      <vt:lpstr>12.03.21</vt:lpstr>
      <vt:lpstr>15.03.21</vt:lpstr>
      <vt:lpstr>16.03.21</vt:lpstr>
      <vt:lpstr>17.03.21</vt:lpstr>
      <vt:lpstr>18.03.21</vt:lpstr>
      <vt:lpstr>19.03.21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2021-03-19T07:58:26Z</dcterms:modified>
</cp:coreProperties>
</file>